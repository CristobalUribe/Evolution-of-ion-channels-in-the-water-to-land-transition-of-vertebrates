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pplementary_Table_S1" sheetId="1" r:id="rId4"/>
  </sheets>
  <definedNames>
    <definedName hidden="1" localSheetId="0" name="_xlnm._FilterDatabase">Supplementary_Table_S1!$A$1:$F$168</definedName>
  </definedNames>
  <calcPr/>
  <extLst>
    <ext uri="GoogleSheetsCustomDataVersion2">
      <go:sheetsCustomData xmlns:go="http://customooxmlschemas.google.com/" r:id="rId5" roundtripDataChecksum="yD/K9B8l0oDQhRifolCpHUATtWXe3CGBaZKtEFj70rs="/>
    </ext>
  </extLst>
</workbook>
</file>

<file path=xl/sharedStrings.xml><?xml version="1.0" encoding="utf-8"?>
<sst xmlns="http://schemas.openxmlformats.org/spreadsheetml/2006/main" count="343" uniqueCount="338">
  <si>
    <t>OMAGroup</t>
  </si>
  <si>
    <t>Gene_Symbol</t>
  </si>
  <si>
    <t>lnL 1</t>
  </si>
  <si>
    <t>lnL 2</t>
  </si>
  <si>
    <t>LRT</t>
  </si>
  <si>
    <t>P-value</t>
  </si>
  <si>
    <t>Ranking</t>
  </si>
  <si>
    <t>FDR 0.05</t>
  </si>
  <si>
    <t>OG6</t>
  </si>
  <si>
    <t>PKD1</t>
  </si>
  <si>
    <t>OG148</t>
  </si>
  <si>
    <t>TRPM4</t>
  </si>
  <si>
    <t>OG563</t>
  </si>
  <si>
    <t>CHRND</t>
  </si>
  <si>
    <t>OG18</t>
  </si>
  <si>
    <t>PKDREJ</t>
  </si>
  <si>
    <t>OG153</t>
  </si>
  <si>
    <t>TRPA1</t>
  </si>
  <si>
    <t>OG287</t>
  </si>
  <si>
    <t>TMEM63C</t>
  </si>
  <si>
    <t>OG636</t>
  </si>
  <si>
    <t>KCNJ14</t>
  </si>
  <si>
    <t>OG510</t>
  </si>
  <si>
    <t>MCOLN1</t>
  </si>
  <si>
    <t>OG353</t>
  </si>
  <si>
    <t>TPC3</t>
  </si>
  <si>
    <t>OG117</t>
  </si>
  <si>
    <t>GRIN2C</t>
  </si>
  <si>
    <t>OG91</t>
  </si>
  <si>
    <t>GRIN2B</t>
  </si>
  <si>
    <t>OG805</t>
  </si>
  <si>
    <t>KCNJ8</t>
  </si>
  <si>
    <t>OG335</t>
  </si>
  <si>
    <t>TRPV3</t>
  </si>
  <si>
    <t>OG2</t>
  </si>
  <si>
    <t>RYR1</t>
  </si>
  <si>
    <t>OG238</t>
  </si>
  <si>
    <t>KCNQ2</t>
  </si>
  <si>
    <t>OG646</t>
  </si>
  <si>
    <t>KCNK5</t>
  </si>
  <si>
    <t>OG613</t>
  </si>
  <si>
    <t>KCNA2</t>
  </si>
  <si>
    <t>OG843</t>
  </si>
  <si>
    <t>HTR3A</t>
  </si>
  <si>
    <t>OG154</t>
  </si>
  <si>
    <t>TRPM8</t>
  </si>
  <si>
    <t>OG1</t>
  </si>
  <si>
    <t>RYR2</t>
  </si>
  <si>
    <t>OG163</t>
  </si>
  <si>
    <t>ANO3</t>
  </si>
  <si>
    <t>OG296</t>
  </si>
  <si>
    <t>CLCN7</t>
  </si>
  <si>
    <t>OG99</t>
  </si>
  <si>
    <t>TRPN1</t>
  </si>
  <si>
    <t>OG240</t>
  </si>
  <si>
    <t>GRIA1</t>
  </si>
  <si>
    <t>OG642</t>
  </si>
  <si>
    <t>GABRR1</t>
  </si>
  <si>
    <t>OG213</t>
  </si>
  <si>
    <t>HCN3</t>
  </si>
  <si>
    <t>OG286</t>
  </si>
  <si>
    <t>TRPV1</t>
  </si>
  <si>
    <t>OG671</t>
  </si>
  <si>
    <t>KCNA7</t>
  </si>
  <si>
    <t>OG919</t>
  </si>
  <si>
    <t>KCNK4</t>
  </si>
  <si>
    <t>OG560</t>
  </si>
  <si>
    <t>CHRNB2</t>
  </si>
  <si>
    <t>OG370</t>
  </si>
  <si>
    <t>TRPV6</t>
  </si>
  <si>
    <t>OG151</t>
  </si>
  <si>
    <t>ANO4</t>
  </si>
  <si>
    <t>OG209</t>
  </si>
  <si>
    <t>ANO5</t>
  </si>
  <si>
    <t>OG527</t>
  </si>
  <si>
    <t>KCNK10</t>
  </si>
  <si>
    <t>OG27</t>
  </si>
  <si>
    <t>CACNA1E</t>
  </si>
  <si>
    <t>OG494</t>
  </si>
  <si>
    <t>SCNN1G</t>
  </si>
  <si>
    <t>OG273</t>
  </si>
  <si>
    <t>LRRC8D</t>
  </si>
  <si>
    <t>OG800</t>
  </si>
  <si>
    <t>KCNJ15</t>
  </si>
  <si>
    <t>OG166</t>
  </si>
  <si>
    <t>GRIN1</t>
  </si>
  <si>
    <t>OG44</t>
  </si>
  <si>
    <t>TRPM7</t>
  </si>
  <si>
    <t>OG841</t>
  </si>
  <si>
    <t>KCNJ10</t>
  </si>
  <si>
    <t>OG489</t>
  </si>
  <si>
    <t>KCNV2</t>
  </si>
  <si>
    <t>OG856</t>
  </si>
  <si>
    <t>KCNJ11</t>
  </si>
  <si>
    <t>OG69</t>
  </si>
  <si>
    <t>TRPM3</t>
  </si>
  <si>
    <t>OG1077</t>
  </si>
  <si>
    <t>GJB7</t>
  </si>
  <si>
    <t>OG417</t>
  </si>
  <si>
    <t>ANO10</t>
  </si>
  <si>
    <t>OG1018</t>
  </si>
  <si>
    <t>KCNK6</t>
  </si>
  <si>
    <t>OG326</t>
  </si>
  <si>
    <t>BEST1</t>
  </si>
  <si>
    <t>OG155</t>
  </si>
  <si>
    <t>TMC3</t>
  </si>
  <si>
    <t>OG210</t>
  </si>
  <si>
    <t>GRIK4</t>
  </si>
  <si>
    <t>OG12</t>
  </si>
  <si>
    <t>PIEZO2</t>
  </si>
  <si>
    <t>OG15</t>
  </si>
  <si>
    <t>ITPR3</t>
  </si>
  <si>
    <t>OG267</t>
  </si>
  <si>
    <t>CLCN6</t>
  </si>
  <si>
    <t>OG742</t>
  </si>
  <si>
    <t>KCNJ9</t>
  </si>
  <si>
    <t>OG779</t>
  </si>
  <si>
    <t>KCNK12</t>
  </si>
  <si>
    <t>OG836</t>
  </si>
  <si>
    <t>KCNK13</t>
  </si>
  <si>
    <t>OG658</t>
  </si>
  <si>
    <t>KCNS2</t>
  </si>
  <si>
    <t>OG316</t>
  </si>
  <si>
    <t>TMC6</t>
  </si>
  <si>
    <t>OG619</t>
  </si>
  <si>
    <t>CHRNA10</t>
  </si>
  <si>
    <t>OG600</t>
  </si>
  <si>
    <t>KCNS3</t>
  </si>
  <si>
    <t>OG709</t>
  </si>
  <si>
    <t>CHRNB3</t>
  </si>
  <si>
    <t>OG265</t>
  </si>
  <si>
    <t>CLCN2</t>
  </si>
  <si>
    <t>OG173</t>
  </si>
  <si>
    <t>ANO2</t>
  </si>
  <si>
    <t>OG169</t>
  </si>
  <si>
    <t>GRID1</t>
  </si>
  <si>
    <t>OG701</t>
  </si>
  <si>
    <t>GABRA5</t>
  </si>
  <si>
    <t>OG626</t>
  </si>
  <si>
    <t>BEST4</t>
  </si>
  <si>
    <t>OG686</t>
  </si>
  <si>
    <t>CHRNB1</t>
  </si>
  <si>
    <t>OG202</t>
  </si>
  <si>
    <t>TRPC4</t>
  </si>
  <si>
    <t>OG380</t>
  </si>
  <si>
    <t>TMC7</t>
  </si>
  <si>
    <t>OG60</t>
  </si>
  <si>
    <t>CACNA1S</t>
  </si>
  <si>
    <t>OG775</t>
  </si>
  <si>
    <t>KCNG3</t>
  </si>
  <si>
    <t>OG31</t>
  </si>
  <si>
    <t>CACNA1C</t>
  </si>
  <si>
    <t>OG594</t>
  </si>
  <si>
    <t>KCNJ12</t>
  </si>
  <si>
    <t>OG13</t>
  </si>
  <si>
    <t>ITPR1</t>
  </si>
  <si>
    <t>OG272</t>
  </si>
  <si>
    <t>TRPV4</t>
  </si>
  <si>
    <t>OG678</t>
  </si>
  <si>
    <t>OG753</t>
  </si>
  <si>
    <t>KCNJ16</t>
  </si>
  <si>
    <t>OG1102</t>
  </si>
  <si>
    <t>HVCN1</t>
  </si>
  <si>
    <t>OG160</t>
  </si>
  <si>
    <t>GRIN3B</t>
  </si>
  <si>
    <t>OG1012</t>
  </si>
  <si>
    <t>TMEM38A</t>
  </si>
  <si>
    <t>OG398</t>
  </si>
  <si>
    <t>CLCNKA</t>
  </si>
  <si>
    <t>OG477</t>
  </si>
  <si>
    <t>MCOLN3</t>
  </si>
  <si>
    <t>OG178</t>
  </si>
  <si>
    <t>GRIK5</t>
  </si>
  <si>
    <t>OG225</t>
  </si>
  <si>
    <t>GRIK2</t>
  </si>
  <si>
    <t>OG140</t>
  </si>
  <si>
    <t>TRPM5</t>
  </si>
  <si>
    <t>OG759</t>
  </si>
  <si>
    <t>KCNK2</t>
  </si>
  <si>
    <t>OG4</t>
  </si>
  <si>
    <t>RYR3</t>
  </si>
  <si>
    <t>OG266</t>
  </si>
  <si>
    <t>CLCN3</t>
  </si>
  <si>
    <t>OG141</t>
  </si>
  <si>
    <t>ANO8</t>
  </si>
  <si>
    <t>OG1080</t>
  </si>
  <si>
    <t>GJB3</t>
  </si>
  <si>
    <t>OG188</t>
  </si>
  <si>
    <t>GRID2</t>
  </si>
  <si>
    <t>OG853</t>
  </si>
  <si>
    <t>GJC1</t>
  </si>
  <si>
    <t>OG1123</t>
  </si>
  <si>
    <t>KCNMB4</t>
  </si>
  <si>
    <t>OG19</t>
  </si>
  <si>
    <t>OG392</t>
  </si>
  <si>
    <t>KCNQ4</t>
  </si>
  <si>
    <t>OG264</t>
  </si>
  <si>
    <t>KCNQ3</t>
  </si>
  <si>
    <t>OG226</t>
  </si>
  <si>
    <t>TRPC3</t>
  </si>
  <si>
    <t>OG664</t>
  </si>
  <si>
    <t>GABRA1</t>
  </si>
  <si>
    <t>OG592</t>
  </si>
  <si>
    <t>KCNG1</t>
  </si>
  <si>
    <t>OG1055</t>
  </si>
  <si>
    <t>GJB1</t>
  </si>
  <si>
    <t>OG232</t>
  </si>
  <si>
    <t>GRIA3</t>
  </si>
  <si>
    <t>OG71</t>
  </si>
  <si>
    <t>NALCN</t>
  </si>
  <si>
    <t>OG605</t>
  </si>
  <si>
    <t>GABRB3</t>
  </si>
  <si>
    <t>OG604</t>
  </si>
  <si>
    <t>OG147</t>
  </si>
  <si>
    <t>SLC9C1</t>
  </si>
  <si>
    <t>OG346</t>
  </si>
  <si>
    <t>KCNC3</t>
  </si>
  <si>
    <t>OG1187</t>
  </si>
  <si>
    <t>GJE1</t>
  </si>
  <si>
    <t>OG137</t>
  </si>
  <si>
    <t>KCNH4</t>
  </si>
  <si>
    <t>OG252</t>
  </si>
  <si>
    <t>TMC5</t>
  </si>
  <si>
    <t>OG391</t>
  </si>
  <si>
    <t>KCNQ1</t>
  </si>
  <si>
    <t>OG373</t>
  </si>
  <si>
    <t>CNGA3</t>
  </si>
  <si>
    <t>OG34</t>
  </si>
  <si>
    <t>CACNA1I</t>
  </si>
  <si>
    <t>OG183</t>
  </si>
  <si>
    <t>KCNH5</t>
  </si>
  <si>
    <t>OG996</t>
  </si>
  <si>
    <t>GJD3</t>
  </si>
  <si>
    <t>OG1178</t>
  </si>
  <si>
    <t>OG211</t>
  </si>
  <si>
    <t>KCNH1</t>
  </si>
  <si>
    <t>OG433</t>
  </si>
  <si>
    <t>KCNC1</t>
  </si>
  <si>
    <t>OG171</t>
  </si>
  <si>
    <t>ANO1</t>
  </si>
  <si>
    <t>OG249</t>
  </si>
  <si>
    <t>TRPC6</t>
  </si>
  <si>
    <t>OG540</t>
  </si>
  <si>
    <t>KCNK9</t>
  </si>
  <si>
    <t>OG633</t>
  </si>
  <si>
    <t>GABRA6</t>
  </si>
  <si>
    <t>OG643</t>
  </si>
  <si>
    <t>CHRNA5</t>
  </si>
  <si>
    <t>OG857</t>
  </si>
  <si>
    <t>KCNK3</t>
  </si>
  <si>
    <t>OG617</t>
  </si>
  <si>
    <t>CHRNA9</t>
  </si>
  <si>
    <t>OG648</t>
  </si>
  <si>
    <t>GABRG3</t>
  </si>
  <si>
    <t>OG105</t>
  </si>
  <si>
    <t>GRIN2A</t>
  </si>
  <si>
    <t>OG231</t>
  </si>
  <si>
    <t>ANO6</t>
  </si>
  <si>
    <t>OG308</t>
  </si>
  <si>
    <t>LRRC8A</t>
  </si>
  <si>
    <t>OG490</t>
  </si>
  <si>
    <t>MCOLN2</t>
  </si>
  <si>
    <t>OG614</t>
  </si>
  <si>
    <t>KCNJ3</t>
  </si>
  <si>
    <t>OG799</t>
  </si>
  <si>
    <t>KCNJ6</t>
  </si>
  <si>
    <t>OG228</t>
  </si>
  <si>
    <t>GRIK1</t>
  </si>
  <si>
    <t>OG102</t>
  </si>
  <si>
    <t>TRPM2</t>
  </si>
  <si>
    <t>OG285</t>
  </si>
  <si>
    <t>TMEM63B</t>
  </si>
  <si>
    <t>OG402</t>
  </si>
  <si>
    <t>CNGA2</t>
  </si>
  <si>
    <t>OG14</t>
  </si>
  <si>
    <t>ITPR2</t>
  </si>
  <si>
    <t>OG497</t>
  </si>
  <si>
    <t>KCNV1</t>
  </si>
  <si>
    <t>OG214</t>
  </si>
  <si>
    <t>PKD2</t>
  </si>
  <si>
    <t>OG282</t>
  </si>
  <si>
    <t>CLCN5</t>
  </si>
  <si>
    <t>OG284</t>
  </si>
  <si>
    <t>PKD2L1</t>
  </si>
  <si>
    <t>OG363</t>
  </si>
  <si>
    <t>TPCN2</t>
  </si>
  <si>
    <t>OG729</t>
  </si>
  <si>
    <t>GABRD</t>
  </si>
  <si>
    <t>OG896</t>
  </si>
  <si>
    <t>KCNJ1</t>
  </si>
  <si>
    <t>OG310</t>
  </si>
  <si>
    <t>LRRC8C</t>
  </si>
  <si>
    <t>OG546</t>
  </si>
  <si>
    <t>GABRB2</t>
  </si>
  <si>
    <t>OG609</t>
  </si>
  <si>
    <t>GLRB</t>
  </si>
  <si>
    <t>OG622</t>
  </si>
  <si>
    <t>KCNF1</t>
  </si>
  <si>
    <t>OG717</t>
  </si>
  <si>
    <t>CHRNA1</t>
  </si>
  <si>
    <t>OG983</t>
  </si>
  <si>
    <t>GJD2</t>
  </si>
  <si>
    <t>OG337</t>
  </si>
  <si>
    <t>CLCN4</t>
  </si>
  <si>
    <t>OG784</t>
  </si>
  <si>
    <t>KCNJ2</t>
  </si>
  <si>
    <t>OG880</t>
  </si>
  <si>
    <t>GJA1</t>
  </si>
  <si>
    <t>OG250</t>
  </si>
  <si>
    <t>TRPC1</t>
  </si>
  <si>
    <t>OG298</t>
  </si>
  <si>
    <t>TPCN1</t>
  </si>
  <si>
    <t>OG660</t>
  </si>
  <si>
    <t>GABRG2</t>
  </si>
  <si>
    <t>OG134</t>
  </si>
  <si>
    <t>HCN4</t>
  </si>
  <si>
    <t>OG386</t>
  </si>
  <si>
    <t>CNGA1</t>
  </si>
  <si>
    <t>OG47</t>
  </si>
  <si>
    <t>SCN8A</t>
  </si>
  <si>
    <t>OG43</t>
  </si>
  <si>
    <t>SCN2A</t>
  </si>
  <si>
    <t>OG939</t>
  </si>
  <si>
    <t>Cx32</t>
  </si>
  <si>
    <t>OG127</t>
  </si>
  <si>
    <t>KCNT1</t>
  </si>
  <si>
    <t>OG587</t>
  </si>
  <si>
    <t>KCNS1</t>
  </si>
  <si>
    <t>OG217</t>
  </si>
  <si>
    <t>GRIA2</t>
  </si>
  <si>
    <t>OG429</t>
  </si>
  <si>
    <t>KCNC2</t>
  </si>
  <si>
    <t>OG1008</t>
  </si>
  <si>
    <t>OG571</t>
  </si>
  <si>
    <t>GJA9</t>
  </si>
  <si>
    <t>OG22</t>
  </si>
  <si>
    <t>PIEZO1</t>
  </si>
  <si>
    <t>FDR calculations: unhide rows from 31 to 168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</si>
</sst>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ptos Narrow"/>
      <scheme val="minor"/>
    </font>
    <font>
      <sz val="11.0"/>
      <color theme="1"/>
      <name val="Aptos Narrow"/>
    </font>
    <font>
      <b/>
      <sz val="11.0"/>
      <color theme="1"/>
      <name val="Aptos Narrow"/>
    </font>
    <font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95DCF7"/>
        <bgColor rgb="FF95DCF7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2" fontId="2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/>
    </xf>
    <xf borderId="2" fillId="3" fontId="1" numFmtId="0" xfId="0" applyAlignment="1" applyBorder="1" applyFill="1" applyFont="1">
      <alignment horizontal="center"/>
    </xf>
    <xf borderId="0" fillId="0" fontId="1" numFmtId="11" xfId="0" applyAlignment="1" applyFont="1" applyNumberFormat="1">
      <alignment horizontal="center"/>
    </xf>
    <xf borderId="0" fillId="0" fontId="3" numFmtId="0" xfId="0" applyAlignment="1" applyFont="1">
      <alignment horizontal="left" readingOrder="0"/>
    </xf>
  </cellXfs>
  <cellStyles count="1">
    <cellStyle xfId="0" name="Normal" builtinId="0"/>
  </cellStyles>
  <dxfs count="1">
    <dxf>
      <font/>
      <fill>
        <patternFill patternType="solid">
          <fgColor rgb="FF95DCF7"/>
          <bgColor rgb="FF95DCF7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38"/>
    <col customWidth="1" min="2" max="2" width="17.88"/>
    <col customWidth="1" min="5" max="5" width="11.5"/>
    <col customWidth="1" min="6" max="6" width="18.88"/>
    <col customWidth="1" min="7" max="7" width="11.5"/>
    <col customWidth="1" min="8" max="8" width="15.75"/>
    <col customWidth="1" min="9" max="18" width="10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</row>
    <row r="2" ht="14.25" customHeight="1">
      <c r="A2" s="3" t="s">
        <v>8</v>
      </c>
      <c r="B2" s="3" t="s">
        <v>9</v>
      </c>
      <c r="C2" s="3">
        <v>-368727.110715</v>
      </c>
      <c r="D2" s="3">
        <v>-368774.708408</v>
      </c>
      <c r="E2" s="4">
        <v>95.1954</v>
      </c>
      <c r="F2" s="5">
        <f t="shared" ref="F2:F168" si="1">1-_xlfn.CHISQ.DIST(E2,1,TRUE)</f>
        <v>0</v>
      </c>
      <c r="G2" s="3">
        <v>1.0</v>
      </c>
      <c r="H2" s="3">
        <f t="shared" ref="H2:H168" si="2">(G2/167)*0.05</f>
        <v>0.0002994011976</v>
      </c>
      <c r="I2" s="3"/>
      <c r="J2" s="3"/>
      <c r="K2" s="3"/>
      <c r="L2" s="3"/>
      <c r="M2" s="3"/>
      <c r="N2" s="3"/>
      <c r="O2" s="3"/>
      <c r="P2" s="3"/>
      <c r="Q2" s="3"/>
      <c r="R2" s="3"/>
    </row>
    <row r="3" ht="14.25" customHeight="1">
      <c r="A3" s="3" t="s">
        <v>10</v>
      </c>
      <c r="B3" s="3" t="s">
        <v>11</v>
      </c>
      <c r="C3" s="3">
        <v>-56957.6991</v>
      </c>
      <c r="D3" s="3">
        <v>-56971.76171</v>
      </c>
      <c r="E3" s="3">
        <v>28.1252</v>
      </c>
      <c r="F3" s="5">
        <f t="shared" si="1"/>
        <v>0.0000001137155048</v>
      </c>
      <c r="G3" s="3">
        <v>2.0</v>
      </c>
      <c r="H3" s="3">
        <f t="shared" si="2"/>
        <v>0.0005988023952</v>
      </c>
      <c r="I3" s="3"/>
      <c r="J3" s="3"/>
      <c r="K3" s="3"/>
      <c r="L3" s="3"/>
      <c r="M3" s="3"/>
      <c r="N3" s="3"/>
      <c r="O3" s="3"/>
      <c r="P3" s="3"/>
      <c r="Q3" s="3"/>
      <c r="R3" s="3"/>
    </row>
    <row r="4" ht="14.25" customHeight="1">
      <c r="A4" s="3" t="s">
        <v>12</v>
      </c>
      <c r="B4" s="3" t="s">
        <v>13</v>
      </c>
      <c r="C4" s="3">
        <v>-41172.890557</v>
      </c>
      <c r="D4" s="3">
        <v>-41185.412403</v>
      </c>
      <c r="E4" s="3">
        <v>25.0437</v>
      </c>
      <c r="F4" s="5">
        <f t="shared" si="1"/>
        <v>0.000000560455737</v>
      </c>
      <c r="G4" s="3">
        <v>3.0</v>
      </c>
      <c r="H4" s="3">
        <f t="shared" si="2"/>
        <v>0.0008982035928</v>
      </c>
      <c r="I4" s="3"/>
      <c r="J4" s="3"/>
      <c r="K4" s="3"/>
      <c r="L4" s="3"/>
      <c r="M4" s="3"/>
      <c r="N4" s="3"/>
      <c r="O4" s="3"/>
      <c r="P4" s="3"/>
      <c r="Q4" s="3"/>
      <c r="R4" s="3"/>
    </row>
    <row r="5" ht="14.25" customHeight="1">
      <c r="A5" s="3" t="s">
        <v>14</v>
      </c>
      <c r="B5" s="3" t="s">
        <v>15</v>
      </c>
      <c r="C5" s="3">
        <v>-118580.524783</v>
      </c>
      <c r="D5" s="3">
        <v>-118592.701411</v>
      </c>
      <c r="E5" s="3">
        <v>24.3533</v>
      </c>
      <c r="F5" s="5">
        <f t="shared" si="1"/>
        <v>0.0000008018925589</v>
      </c>
      <c r="G5" s="3">
        <v>4.0</v>
      </c>
      <c r="H5" s="3">
        <f t="shared" si="2"/>
        <v>0.00119760479</v>
      </c>
      <c r="I5" s="3"/>
      <c r="J5" s="3"/>
      <c r="K5" s="3"/>
      <c r="L5" s="3"/>
      <c r="M5" s="3"/>
      <c r="N5" s="3"/>
      <c r="O5" s="3"/>
      <c r="P5" s="3"/>
      <c r="Q5" s="3"/>
      <c r="R5" s="3"/>
    </row>
    <row r="6" ht="14.25" customHeight="1">
      <c r="A6" s="3" t="s">
        <v>16</v>
      </c>
      <c r="B6" s="3" t="s">
        <v>17</v>
      </c>
      <c r="C6" s="3">
        <v>-83836.463757</v>
      </c>
      <c r="D6" s="3">
        <v>-83847.017064</v>
      </c>
      <c r="E6" s="3">
        <v>21.1066</v>
      </c>
      <c r="F6" s="5">
        <f t="shared" si="1"/>
        <v>0.000004344292844</v>
      </c>
      <c r="G6" s="3">
        <v>5.0</v>
      </c>
      <c r="H6" s="3">
        <f t="shared" si="2"/>
        <v>0.001497005988</v>
      </c>
      <c r="I6" s="3"/>
      <c r="J6" s="3"/>
      <c r="K6" s="3"/>
      <c r="L6" s="3"/>
      <c r="M6" s="3"/>
      <c r="N6" s="3"/>
      <c r="O6" s="3"/>
      <c r="P6" s="3"/>
      <c r="Q6" s="3"/>
      <c r="R6" s="3"/>
    </row>
    <row r="7" ht="14.25" customHeight="1">
      <c r="A7" s="3" t="s">
        <v>18</v>
      </c>
      <c r="B7" s="3" t="s">
        <v>19</v>
      </c>
      <c r="C7" s="3">
        <v>-55463.158185</v>
      </c>
      <c r="D7" s="3">
        <v>-55473.003642</v>
      </c>
      <c r="E7" s="3">
        <v>19.6909</v>
      </c>
      <c r="F7" s="5">
        <f t="shared" si="1"/>
        <v>0.000009103383545</v>
      </c>
      <c r="G7" s="3">
        <v>6.0</v>
      </c>
      <c r="H7" s="3">
        <f t="shared" si="2"/>
        <v>0.001796407186</v>
      </c>
      <c r="I7" s="3"/>
      <c r="J7" s="3"/>
      <c r="K7" s="3"/>
      <c r="L7" s="3"/>
      <c r="M7" s="3"/>
      <c r="N7" s="3"/>
      <c r="O7" s="3"/>
      <c r="P7" s="3"/>
      <c r="Q7" s="3"/>
      <c r="R7" s="3"/>
    </row>
    <row r="8" ht="14.25" customHeight="1">
      <c r="A8" s="3" t="s">
        <v>20</v>
      </c>
      <c r="B8" s="3" t="s">
        <v>21</v>
      </c>
      <c r="C8" s="3">
        <v>-16711.617089</v>
      </c>
      <c r="D8" s="3">
        <v>-16721.020199</v>
      </c>
      <c r="E8" s="3">
        <v>18.8062</v>
      </c>
      <c r="F8" s="5">
        <f t="shared" si="1"/>
        <v>0.00001446959894</v>
      </c>
      <c r="G8" s="3">
        <v>7.0</v>
      </c>
      <c r="H8" s="3">
        <f t="shared" si="2"/>
        <v>0.002095808383</v>
      </c>
      <c r="I8" s="3"/>
      <c r="J8" s="3"/>
      <c r="K8" s="3"/>
      <c r="L8" s="3"/>
      <c r="M8" s="3"/>
      <c r="N8" s="3"/>
      <c r="O8" s="3"/>
      <c r="P8" s="3"/>
      <c r="Q8" s="3"/>
      <c r="R8" s="3"/>
    </row>
    <row r="9" ht="14.25" customHeight="1">
      <c r="A9" s="3" t="s">
        <v>22</v>
      </c>
      <c r="B9" s="3" t="s">
        <v>23</v>
      </c>
      <c r="C9" s="3">
        <v>-32298.883927</v>
      </c>
      <c r="D9" s="3">
        <v>-32307.669708</v>
      </c>
      <c r="E9" s="3">
        <v>17.5716</v>
      </c>
      <c r="F9" s="5">
        <f t="shared" si="1"/>
        <v>0.00002766898543</v>
      </c>
      <c r="G9" s="3">
        <v>8.0</v>
      </c>
      <c r="H9" s="3">
        <f t="shared" si="2"/>
        <v>0.002395209581</v>
      </c>
      <c r="I9" s="3"/>
      <c r="J9" s="3"/>
      <c r="K9" s="3"/>
      <c r="L9" s="3"/>
      <c r="M9" s="3"/>
      <c r="N9" s="3"/>
      <c r="O9" s="3"/>
      <c r="P9" s="3"/>
      <c r="Q9" s="3"/>
      <c r="R9" s="3"/>
    </row>
    <row r="10" ht="14.25" customHeight="1">
      <c r="A10" s="3" t="s">
        <v>24</v>
      </c>
      <c r="B10" s="3" t="s">
        <v>25</v>
      </c>
      <c r="C10" s="3">
        <v>-47124.097342</v>
      </c>
      <c r="D10" s="3">
        <v>-47132.87424</v>
      </c>
      <c r="E10" s="3">
        <v>17.5538</v>
      </c>
      <c r="F10" s="5">
        <f t="shared" si="1"/>
        <v>0.00002792920753</v>
      </c>
      <c r="G10" s="3">
        <v>9.0</v>
      </c>
      <c r="H10" s="3">
        <f t="shared" si="2"/>
        <v>0.002694610778</v>
      </c>
      <c r="I10" s="3"/>
      <c r="J10" s="3"/>
      <c r="K10" s="3"/>
      <c r="L10" s="3"/>
      <c r="M10" s="3"/>
      <c r="N10" s="3"/>
      <c r="O10" s="3"/>
      <c r="P10" s="3"/>
      <c r="Q10" s="3"/>
      <c r="R10" s="3"/>
    </row>
    <row r="11" ht="14.25" customHeight="1">
      <c r="A11" s="3" t="s">
        <v>26</v>
      </c>
      <c r="B11" s="3" t="s">
        <v>27</v>
      </c>
      <c r="C11" s="3">
        <v>-49087.491934</v>
      </c>
      <c r="D11" s="3">
        <v>-49095.115964</v>
      </c>
      <c r="E11" s="3">
        <v>15.2481</v>
      </c>
      <c r="F11" s="5">
        <f t="shared" si="1"/>
        <v>0.00009427154385</v>
      </c>
      <c r="G11" s="3">
        <v>10.0</v>
      </c>
      <c r="H11" s="3">
        <f t="shared" si="2"/>
        <v>0.002994011976</v>
      </c>
      <c r="I11" s="3"/>
      <c r="J11" s="3"/>
      <c r="K11" s="3"/>
      <c r="L11" s="3"/>
      <c r="M11" s="3"/>
      <c r="N11" s="3"/>
      <c r="O11" s="3"/>
      <c r="P11" s="3"/>
      <c r="Q11" s="3"/>
      <c r="R11" s="3"/>
    </row>
    <row r="12" ht="14.25" customHeight="1">
      <c r="A12" s="3" t="s">
        <v>28</v>
      </c>
      <c r="B12" s="3" t="s">
        <v>29</v>
      </c>
      <c r="C12" s="3">
        <v>-48086.014885</v>
      </c>
      <c r="D12" s="3">
        <v>-48093.33899</v>
      </c>
      <c r="E12" s="3">
        <v>14.6482</v>
      </c>
      <c r="F12" s="5">
        <f t="shared" si="1"/>
        <v>0.0001295583144</v>
      </c>
      <c r="G12" s="3">
        <v>11.0</v>
      </c>
      <c r="H12" s="3">
        <f t="shared" si="2"/>
        <v>0.003293413174</v>
      </c>
      <c r="I12" s="3"/>
      <c r="J12" s="3"/>
      <c r="K12" s="3"/>
      <c r="L12" s="3"/>
      <c r="M12" s="3"/>
      <c r="N12" s="3"/>
      <c r="O12" s="3"/>
      <c r="P12" s="3"/>
      <c r="Q12" s="3"/>
      <c r="R12" s="3"/>
    </row>
    <row r="13" ht="14.25" customHeight="1">
      <c r="A13" s="3" t="s">
        <v>30</v>
      </c>
      <c r="B13" s="3" t="s">
        <v>31</v>
      </c>
      <c r="C13" s="3">
        <v>-24578.300812</v>
      </c>
      <c r="D13" s="3">
        <v>-24584.182846</v>
      </c>
      <c r="E13" s="3">
        <v>11.7641</v>
      </c>
      <c r="F13" s="5">
        <f t="shared" si="1"/>
        <v>0.0006038407177</v>
      </c>
      <c r="G13" s="3">
        <v>12.0</v>
      </c>
      <c r="H13" s="3">
        <f t="shared" si="2"/>
        <v>0.003592814371</v>
      </c>
      <c r="I13" s="3"/>
      <c r="J13" s="3"/>
      <c r="K13" s="3"/>
      <c r="L13" s="3"/>
      <c r="M13" s="3"/>
      <c r="N13" s="3"/>
      <c r="O13" s="3"/>
      <c r="P13" s="3"/>
      <c r="Q13" s="3"/>
      <c r="R13" s="3"/>
    </row>
    <row r="14" ht="14.25" customHeight="1">
      <c r="A14" s="3" t="s">
        <v>32</v>
      </c>
      <c r="B14" s="3" t="s">
        <v>33</v>
      </c>
      <c r="C14" s="3">
        <v>-33415.509406</v>
      </c>
      <c r="D14" s="3">
        <v>-33420.943984</v>
      </c>
      <c r="E14" s="3">
        <v>10.8692</v>
      </c>
      <c r="F14" s="5">
        <f t="shared" si="1"/>
        <v>0.0009777675692</v>
      </c>
      <c r="G14" s="3">
        <v>13.0</v>
      </c>
      <c r="H14" s="3">
        <f t="shared" si="2"/>
        <v>0.003892215569</v>
      </c>
      <c r="I14" s="3"/>
      <c r="J14" s="3"/>
      <c r="K14" s="3"/>
      <c r="L14" s="3"/>
      <c r="M14" s="3"/>
      <c r="N14" s="3"/>
      <c r="O14" s="3"/>
      <c r="P14" s="3"/>
      <c r="Q14" s="3"/>
      <c r="R14" s="3"/>
    </row>
    <row r="15" ht="14.25" customHeight="1">
      <c r="A15" s="3" t="s">
        <v>34</v>
      </c>
      <c r="B15" s="3" t="s">
        <v>35</v>
      </c>
      <c r="C15" s="3">
        <v>-176812.256757</v>
      </c>
      <c r="D15" s="3">
        <v>-176816.902991</v>
      </c>
      <c r="E15" s="3">
        <v>9.29247</v>
      </c>
      <c r="F15" s="5">
        <f t="shared" si="1"/>
        <v>0.002300977016</v>
      </c>
      <c r="G15" s="3">
        <v>14.0</v>
      </c>
      <c r="H15" s="3">
        <f t="shared" si="2"/>
        <v>0.004191616766</v>
      </c>
      <c r="I15" s="3"/>
      <c r="J15" s="3"/>
      <c r="K15" s="3"/>
      <c r="L15" s="3"/>
      <c r="M15" s="3"/>
      <c r="N15" s="3"/>
      <c r="O15" s="3"/>
      <c r="P15" s="3"/>
      <c r="Q15" s="3"/>
      <c r="R15" s="3"/>
    </row>
    <row r="16" ht="14.25" customHeight="1">
      <c r="A16" s="3" t="s">
        <v>36</v>
      </c>
      <c r="B16" s="3" t="s">
        <v>37</v>
      </c>
      <c r="C16" s="3">
        <v>-32706.774103</v>
      </c>
      <c r="D16" s="3">
        <v>-32711.348639</v>
      </c>
      <c r="E16" s="3">
        <v>9.14907</v>
      </c>
      <c r="F16" s="5">
        <f t="shared" si="1"/>
        <v>0.0024884451</v>
      </c>
      <c r="G16" s="3">
        <v>15.0</v>
      </c>
      <c r="H16" s="3">
        <f t="shared" si="2"/>
        <v>0.004491017964</v>
      </c>
      <c r="I16" s="3"/>
      <c r="J16" s="3"/>
      <c r="K16" s="3"/>
      <c r="L16" s="3"/>
      <c r="M16" s="3"/>
      <c r="N16" s="3"/>
      <c r="O16" s="3"/>
      <c r="P16" s="3"/>
      <c r="Q16" s="3"/>
      <c r="R16" s="3"/>
    </row>
    <row r="17" ht="14.25" customHeight="1">
      <c r="A17" s="3" t="s">
        <v>38</v>
      </c>
      <c r="B17" s="3" t="s">
        <v>39</v>
      </c>
      <c r="C17" s="3">
        <v>-22346.79906</v>
      </c>
      <c r="D17" s="3">
        <v>-22351.336397</v>
      </c>
      <c r="E17" s="3">
        <v>9.07467</v>
      </c>
      <c r="F17" s="5">
        <f t="shared" si="1"/>
        <v>0.002591743419</v>
      </c>
      <c r="G17" s="3">
        <v>16.0</v>
      </c>
      <c r="H17" s="3">
        <f t="shared" si="2"/>
        <v>0.004790419162</v>
      </c>
      <c r="I17" s="3"/>
      <c r="J17" s="3"/>
      <c r="K17" s="3"/>
      <c r="L17" s="3"/>
      <c r="M17" s="3"/>
      <c r="N17" s="3"/>
      <c r="O17" s="3"/>
      <c r="P17" s="3"/>
      <c r="Q17" s="3"/>
      <c r="R17" s="3"/>
    </row>
    <row r="18" ht="14.25" customHeight="1">
      <c r="A18" s="3" t="s">
        <v>40</v>
      </c>
      <c r="B18" s="3" t="s">
        <v>41</v>
      </c>
      <c r="C18" s="3">
        <v>-22189.645989</v>
      </c>
      <c r="D18" s="3">
        <v>-22194.14521</v>
      </c>
      <c r="E18" s="3">
        <v>8.99844</v>
      </c>
      <c r="F18" s="5">
        <f t="shared" si="1"/>
        <v>0.002702101623</v>
      </c>
      <c r="G18" s="3">
        <v>17.0</v>
      </c>
      <c r="H18" s="3">
        <f t="shared" si="2"/>
        <v>0.005089820359</v>
      </c>
      <c r="I18" s="3"/>
      <c r="J18" s="3"/>
      <c r="K18" s="3"/>
      <c r="L18" s="3"/>
      <c r="M18" s="3"/>
      <c r="N18" s="3"/>
      <c r="O18" s="3"/>
      <c r="P18" s="3"/>
      <c r="Q18" s="3"/>
      <c r="R18" s="3"/>
    </row>
    <row r="19" ht="14.25" customHeight="1">
      <c r="A19" s="3" t="s">
        <v>42</v>
      </c>
      <c r="B19" s="3" t="s">
        <v>43</v>
      </c>
      <c r="C19" s="3">
        <v>-9152.875864</v>
      </c>
      <c r="D19" s="3">
        <v>-9157.337628</v>
      </c>
      <c r="E19" s="3">
        <v>8.92353</v>
      </c>
      <c r="F19" s="5">
        <f t="shared" si="1"/>
        <v>0.002815198554</v>
      </c>
      <c r="G19" s="3">
        <v>18.0</v>
      </c>
      <c r="H19" s="3">
        <f t="shared" si="2"/>
        <v>0.005389221557</v>
      </c>
      <c r="I19" s="3"/>
      <c r="J19" s="3"/>
      <c r="K19" s="3"/>
      <c r="L19" s="3"/>
      <c r="M19" s="3"/>
      <c r="N19" s="3"/>
      <c r="O19" s="3"/>
      <c r="P19" s="3"/>
      <c r="Q19" s="3"/>
      <c r="R19" s="3"/>
    </row>
    <row r="20" ht="14.25" customHeight="1">
      <c r="A20" s="3" t="s">
        <v>44</v>
      </c>
      <c r="B20" s="3" t="s">
        <v>45</v>
      </c>
      <c r="C20" s="3">
        <v>-51586.72002</v>
      </c>
      <c r="D20" s="3">
        <v>-51591.138627</v>
      </c>
      <c r="E20" s="3">
        <v>8.83721</v>
      </c>
      <c r="F20" s="5">
        <f t="shared" si="1"/>
        <v>0.002951500076</v>
      </c>
      <c r="G20" s="3">
        <v>19.0</v>
      </c>
      <c r="H20" s="3">
        <f t="shared" si="2"/>
        <v>0.005688622754</v>
      </c>
      <c r="I20" s="3"/>
      <c r="J20" s="3"/>
      <c r="K20" s="3"/>
      <c r="L20" s="3"/>
      <c r="M20" s="3"/>
      <c r="N20" s="3"/>
      <c r="O20" s="3"/>
      <c r="P20" s="3"/>
      <c r="Q20" s="3"/>
      <c r="R20" s="3"/>
    </row>
    <row r="21" ht="14.25" customHeight="1">
      <c r="A21" s="3" t="s">
        <v>46</v>
      </c>
      <c r="B21" s="3" t="s">
        <v>47</v>
      </c>
      <c r="C21" s="3">
        <v>-213503.857924</v>
      </c>
      <c r="D21" s="3">
        <v>-213508.046056</v>
      </c>
      <c r="E21" s="3">
        <v>8.37626</v>
      </c>
      <c r="F21" s="5">
        <f t="shared" si="1"/>
        <v>0.003801539086</v>
      </c>
      <c r="G21" s="3">
        <v>20.0</v>
      </c>
      <c r="H21" s="3">
        <f t="shared" si="2"/>
        <v>0.005988023952</v>
      </c>
      <c r="I21" s="3"/>
      <c r="J21" s="3"/>
      <c r="K21" s="3"/>
      <c r="L21" s="3"/>
      <c r="M21" s="3"/>
      <c r="N21" s="3"/>
      <c r="O21" s="3"/>
      <c r="P21" s="3"/>
      <c r="Q21" s="3"/>
      <c r="R21" s="3"/>
    </row>
    <row r="22" ht="14.25" customHeight="1">
      <c r="A22" s="3" t="s">
        <v>48</v>
      </c>
      <c r="B22" s="3" t="s">
        <v>49</v>
      </c>
      <c r="C22" s="3">
        <v>-35797.689311</v>
      </c>
      <c r="D22" s="3">
        <v>-35801.842063</v>
      </c>
      <c r="E22" s="3">
        <v>8.3055</v>
      </c>
      <c r="F22" s="5">
        <f t="shared" si="1"/>
        <v>0.00395251996</v>
      </c>
      <c r="G22" s="3">
        <v>21.0</v>
      </c>
      <c r="H22" s="3">
        <f t="shared" si="2"/>
        <v>0.00628742515</v>
      </c>
      <c r="I22" s="3"/>
      <c r="J22" s="3"/>
      <c r="K22" s="3"/>
      <c r="L22" s="3"/>
      <c r="M22" s="3"/>
      <c r="N22" s="3"/>
      <c r="O22" s="3"/>
      <c r="P22" s="3"/>
      <c r="Q22" s="3"/>
      <c r="R22" s="3"/>
    </row>
    <row r="23" ht="14.25" customHeight="1">
      <c r="A23" s="3" t="s">
        <v>50</v>
      </c>
      <c r="B23" s="3" t="s">
        <v>51</v>
      </c>
      <c r="C23" s="3">
        <v>-46342.201548</v>
      </c>
      <c r="D23" s="3">
        <v>-46346.272147</v>
      </c>
      <c r="E23" s="3">
        <v>8.1412</v>
      </c>
      <c r="F23" s="5">
        <f t="shared" si="1"/>
        <v>0.004327063842</v>
      </c>
      <c r="G23" s="3">
        <v>22.0</v>
      </c>
      <c r="H23" s="3">
        <f t="shared" si="2"/>
        <v>0.006586826347</v>
      </c>
      <c r="I23" s="3"/>
      <c r="J23" s="3"/>
      <c r="K23" s="3"/>
      <c r="L23" s="3"/>
      <c r="M23" s="3"/>
      <c r="N23" s="3"/>
      <c r="O23" s="3"/>
      <c r="P23" s="3"/>
      <c r="Q23" s="3"/>
      <c r="R23" s="3"/>
    </row>
    <row r="24" ht="14.25" customHeight="1">
      <c r="A24" s="3" t="s">
        <v>52</v>
      </c>
      <c r="B24" s="3" t="s">
        <v>53</v>
      </c>
      <c r="C24" s="3">
        <v>-36743.521576</v>
      </c>
      <c r="D24" s="3">
        <v>-36747.500786</v>
      </c>
      <c r="E24" s="3">
        <v>7.95842</v>
      </c>
      <c r="F24" s="5">
        <f t="shared" si="1"/>
        <v>0.004786417906</v>
      </c>
      <c r="G24" s="3">
        <v>23.0</v>
      </c>
      <c r="H24" s="3">
        <f t="shared" si="2"/>
        <v>0.006886227545</v>
      </c>
      <c r="I24" s="3"/>
      <c r="J24" s="3"/>
      <c r="K24" s="3"/>
      <c r="L24" s="3"/>
      <c r="M24" s="3"/>
      <c r="N24" s="3"/>
      <c r="O24" s="3"/>
      <c r="P24" s="3"/>
      <c r="Q24" s="3"/>
      <c r="R24" s="3"/>
    </row>
    <row r="25" ht="14.25" customHeight="1">
      <c r="A25" s="3" t="s">
        <v>54</v>
      </c>
      <c r="B25" s="3" t="s">
        <v>55</v>
      </c>
      <c r="C25" s="3">
        <v>-37018.169454</v>
      </c>
      <c r="D25" s="3">
        <v>-37022.132609</v>
      </c>
      <c r="E25" s="3">
        <v>7.92631</v>
      </c>
      <c r="F25" s="5">
        <f t="shared" si="1"/>
        <v>0.004872105681</v>
      </c>
      <c r="G25" s="3">
        <v>24.0</v>
      </c>
      <c r="H25" s="3">
        <f t="shared" si="2"/>
        <v>0.007185628743</v>
      </c>
      <c r="I25" s="3"/>
      <c r="J25" s="3"/>
      <c r="K25" s="3"/>
      <c r="L25" s="3"/>
      <c r="M25" s="3"/>
      <c r="N25" s="3"/>
      <c r="O25" s="3"/>
      <c r="P25" s="3"/>
      <c r="Q25" s="3"/>
      <c r="R25" s="3"/>
    </row>
    <row r="26" ht="14.25" customHeight="1">
      <c r="A26" s="3" t="s">
        <v>56</v>
      </c>
      <c r="B26" s="3" t="s">
        <v>57</v>
      </c>
      <c r="C26" s="3">
        <v>-9866.909654</v>
      </c>
      <c r="D26" s="3">
        <v>-9870.827508</v>
      </c>
      <c r="E26" s="3">
        <v>7.83571</v>
      </c>
      <c r="F26" s="5">
        <f t="shared" si="1"/>
        <v>0.005122402941</v>
      </c>
      <c r="G26" s="3">
        <v>25.0</v>
      </c>
      <c r="H26" s="3">
        <f t="shared" si="2"/>
        <v>0.00748502994</v>
      </c>
      <c r="I26" s="3"/>
      <c r="J26" s="3"/>
      <c r="K26" s="3"/>
      <c r="L26" s="3"/>
      <c r="M26" s="3"/>
      <c r="N26" s="3"/>
      <c r="O26" s="3"/>
      <c r="P26" s="3"/>
      <c r="Q26" s="3"/>
      <c r="R26" s="3"/>
    </row>
    <row r="27" ht="14.25" customHeight="1">
      <c r="A27" s="3" t="s">
        <v>58</v>
      </c>
      <c r="B27" s="3" t="s">
        <v>59</v>
      </c>
      <c r="C27" s="3">
        <v>-19504.844181</v>
      </c>
      <c r="D27" s="3">
        <v>-19508.745667</v>
      </c>
      <c r="E27" s="3">
        <v>7.80297</v>
      </c>
      <c r="F27" s="5">
        <f t="shared" si="1"/>
        <v>0.005216043051</v>
      </c>
      <c r="G27" s="3">
        <v>26.0</v>
      </c>
      <c r="H27" s="3">
        <f t="shared" si="2"/>
        <v>0.007784431138</v>
      </c>
      <c r="I27" s="3"/>
      <c r="J27" s="3"/>
      <c r="K27" s="3"/>
      <c r="L27" s="3"/>
      <c r="M27" s="3"/>
      <c r="N27" s="3"/>
      <c r="O27" s="3"/>
      <c r="P27" s="3"/>
      <c r="Q27" s="3"/>
      <c r="R27" s="3"/>
    </row>
    <row r="28" ht="14.25" customHeight="1">
      <c r="A28" s="3" t="s">
        <v>60</v>
      </c>
      <c r="B28" s="3" t="s">
        <v>61</v>
      </c>
      <c r="C28" s="3">
        <v>-26686.170304</v>
      </c>
      <c r="D28" s="3">
        <v>-26689.938323</v>
      </c>
      <c r="E28" s="3">
        <v>7.53604</v>
      </c>
      <c r="F28" s="5">
        <f t="shared" si="1"/>
        <v>0.006047681774</v>
      </c>
      <c r="G28" s="3">
        <v>27.0</v>
      </c>
      <c r="H28" s="3">
        <f t="shared" si="2"/>
        <v>0.008083832335</v>
      </c>
      <c r="I28" s="3"/>
      <c r="J28" s="3"/>
      <c r="K28" s="3"/>
      <c r="L28" s="3"/>
      <c r="M28" s="3"/>
      <c r="N28" s="3"/>
      <c r="O28" s="3"/>
      <c r="P28" s="3"/>
      <c r="Q28" s="3"/>
      <c r="R28" s="3"/>
    </row>
    <row r="29" ht="14.25" customHeight="1">
      <c r="A29" s="3" t="s">
        <v>62</v>
      </c>
      <c r="B29" s="3" t="s">
        <v>63</v>
      </c>
      <c r="C29" s="3">
        <v>-13844.194505</v>
      </c>
      <c r="D29" s="3">
        <v>-13847.950788</v>
      </c>
      <c r="E29" s="3">
        <v>7.51257</v>
      </c>
      <c r="F29" s="5">
        <f t="shared" si="1"/>
        <v>0.006126988711</v>
      </c>
      <c r="G29" s="3">
        <v>28.0</v>
      </c>
      <c r="H29" s="3">
        <f t="shared" si="2"/>
        <v>0.008383233533</v>
      </c>
      <c r="I29" s="3"/>
      <c r="J29" s="3"/>
      <c r="K29" s="3"/>
      <c r="L29" s="3"/>
      <c r="M29" s="3"/>
      <c r="N29" s="3"/>
      <c r="O29" s="3"/>
      <c r="P29" s="3"/>
      <c r="Q29" s="3"/>
      <c r="R29" s="3"/>
    </row>
    <row r="30" ht="14.25" customHeight="1">
      <c r="A30" s="3" t="s">
        <v>64</v>
      </c>
      <c r="B30" s="3" t="s">
        <v>65</v>
      </c>
      <c r="C30" s="3">
        <v>-11804.090898</v>
      </c>
      <c r="D30" s="3">
        <v>-11807.625744</v>
      </c>
      <c r="E30" s="3">
        <v>7.06969</v>
      </c>
      <c r="F30" s="5">
        <f t="shared" si="1"/>
        <v>0.007839881894</v>
      </c>
      <c r="G30" s="3">
        <v>29.0</v>
      </c>
      <c r="H30" s="3">
        <f t="shared" si="2"/>
        <v>0.008682634731</v>
      </c>
      <c r="I30" s="3"/>
      <c r="J30" s="3"/>
      <c r="K30" s="3"/>
      <c r="L30" s="3"/>
      <c r="M30" s="3"/>
      <c r="N30" s="3"/>
      <c r="O30" s="3"/>
      <c r="P30" s="3"/>
      <c r="Q30" s="3"/>
      <c r="R30" s="3"/>
    </row>
    <row r="31" ht="14.25" hidden="1" customHeight="1">
      <c r="A31" s="3" t="s">
        <v>66</v>
      </c>
      <c r="B31" s="3" t="s">
        <v>67</v>
      </c>
      <c r="C31" s="3">
        <v>-13937.153068</v>
      </c>
      <c r="D31" s="3">
        <v>-13940.537658</v>
      </c>
      <c r="E31" s="3">
        <v>6.76918</v>
      </c>
      <c r="F31" s="5">
        <f t="shared" si="1"/>
        <v>0.009274543835</v>
      </c>
      <c r="G31" s="3">
        <v>30.0</v>
      </c>
      <c r="H31" s="3">
        <f t="shared" si="2"/>
        <v>0.008982035928</v>
      </c>
      <c r="I31" s="3"/>
      <c r="J31" s="3"/>
      <c r="K31" s="3"/>
      <c r="L31" s="3"/>
      <c r="M31" s="3"/>
      <c r="N31" s="3"/>
      <c r="O31" s="3"/>
      <c r="P31" s="3"/>
      <c r="Q31" s="3"/>
      <c r="R31" s="3"/>
    </row>
    <row r="32" ht="14.25" hidden="1" customHeight="1">
      <c r="A32" s="3" t="s">
        <v>68</v>
      </c>
      <c r="B32" s="3" t="s">
        <v>69</v>
      </c>
      <c r="C32" s="3">
        <v>-28858.838366</v>
      </c>
      <c r="D32" s="3">
        <v>-28862.196062</v>
      </c>
      <c r="E32" s="3">
        <v>6.71539</v>
      </c>
      <c r="F32" s="5">
        <f t="shared" si="1"/>
        <v>0.009558438549</v>
      </c>
      <c r="G32" s="3">
        <v>31.0</v>
      </c>
      <c r="H32" s="3">
        <f t="shared" si="2"/>
        <v>0.009281437126</v>
      </c>
      <c r="I32" s="3"/>
      <c r="J32" s="3"/>
      <c r="K32" s="3"/>
      <c r="L32" s="3"/>
      <c r="M32" s="3"/>
      <c r="N32" s="3"/>
      <c r="O32" s="3"/>
      <c r="P32" s="3"/>
      <c r="Q32" s="3"/>
      <c r="R32" s="3"/>
    </row>
    <row r="33" ht="14.25" hidden="1" customHeight="1">
      <c r="A33" s="3" t="s">
        <v>70</v>
      </c>
      <c r="B33" s="3" t="s">
        <v>71</v>
      </c>
      <c r="C33" s="3">
        <v>-42459.391264</v>
      </c>
      <c r="D33" s="3">
        <v>-42462.638474</v>
      </c>
      <c r="E33" s="3">
        <v>6.49442</v>
      </c>
      <c r="F33" s="5">
        <f t="shared" si="1"/>
        <v>0.01082135941</v>
      </c>
      <c r="G33" s="3">
        <v>32.0</v>
      </c>
      <c r="H33" s="3">
        <f t="shared" si="2"/>
        <v>0.009580838323</v>
      </c>
      <c r="I33" s="3"/>
      <c r="J33" s="3"/>
      <c r="K33" s="3"/>
      <c r="L33" s="3"/>
      <c r="M33" s="3"/>
      <c r="N33" s="3"/>
      <c r="O33" s="3"/>
      <c r="P33" s="3"/>
      <c r="Q33" s="3"/>
      <c r="R33" s="3"/>
    </row>
    <row r="34" ht="14.25" hidden="1" customHeight="1">
      <c r="A34" s="3" t="s">
        <v>72</v>
      </c>
      <c r="B34" s="3" t="s">
        <v>73</v>
      </c>
      <c r="C34" s="3">
        <v>-49601.40579</v>
      </c>
      <c r="D34" s="3">
        <v>-49604.557463</v>
      </c>
      <c r="E34" s="3">
        <v>6.30335</v>
      </c>
      <c r="F34" s="5">
        <f t="shared" si="1"/>
        <v>0.01205100245</v>
      </c>
      <c r="G34" s="3">
        <v>33.0</v>
      </c>
      <c r="H34" s="3">
        <f t="shared" si="2"/>
        <v>0.009880239521</v>
      </c>
      <c r="I34" s="3"/>
      <c r="J34" s="3"/>
      <c r="K34" s="3"/>
      <c r="L34" s="3"/>
      <c r="M34" s="3"/>
      <c r="N34" s="3"/>
      <c r="O34" s="3"/>
      <c r="P34" s="3"/>
      <c r="Q34" s="3"/>
      <c r="R34" s="3"/>
    </row>
    <row r="35" ht="14.25" hidden="1" customHeight="1">
      <c r="A35" s="3" t="s">
        <v>74</v>
      </c>
      <c r="B35" s="3" t="s">
        <v>75</v>
      </c>
      <c r="C35" s="3">
        <v>-26684.330088</v>
      </c>
      <c r="D35" s="3">
        <v>-26687.400548</v>
      </c>
      <c r="E35" s="3">
        <v>6.14092</v>
      </c>
      <c r="F35" s="5">
        <f t="shared" si="1"/>
        <v>0.01320885728</v>
      </c>
      <c r="G35" s="3">
        <v>34.0</v>
      </c>
      <c r="H35" s="3">
        <f t="shared" si="2"/>
        <v>0.01017964072</v>
      </c>
      <c r="I35" s="3"/>
      <c r="J35" s="3"/>
      <c r="K35" s="3"/>
      <c r="L35" s="3"/>
      <c r="M35" s="3"/>
      <c r="N35" s="3"/>
      <c r="O35" s="3"/>
      <c r="P35" s="3"/>
      <c r="Q35" s="3"/>
      <c r="R35" s="3"/>
    </row>
    <row r="36" ht="14.25" hidden="1" customHeight="1">
      <c r="A36" s="3" t="s">
        <v>76</v>
      </c>
      <c r="B36" s="3" t="s">
        <v>77</v>
      </c>
      <c r="C36" s="3">
        <v>-64449.534511</v>
      </c>
      <c r="D36" s="3">
        <v>-64452.593034</v>
      </c>
      <c r="E36" s="3">
        <v>6.11705</v>
      </c>
      <c r="F36" s="5">
        <f t="shared" si="1"/>
        <v>0.01338840489</v>
      </c>
      <c r="G36" s="3">
        <v>35.0</v>
      </c>
      <c r="H36" s="3">
        <f t="shared" si="2"/>
        <v>0.01047904192</v>
      </c>
      <c r="I36" s="3"/>
      <c r="J36" s="3"/>
      <c r="K36" s="3"/>
      <c r="L36" s="3"/>
      <c r="M36" s="3"/>
      <c r="N36" s="3"/>
      <c r="O36" s="3"/>
      <c r="P36" s="3"/>
      <c r="Q36" s="3"/>
      <c r="R36" s="3"/>
    </row>
    <row r="37" ht="14.25" hidden="1" customHeight="1">
      <c r="A37" s="3" t="s">
        <v>78</v>
      </c>
      <c r="B37" s="3" t="s">
        <v>79</v>
      </c>
      <c r="C37" s="3">
        <v>-16817.882348</v>
      </c>
      <c r="D37" s="3">
        <v>-16820.919238</v>
      </c>
      <c r="E37" s="3">
        <v>6.07378</v>
      </c>
      <c r="F37" s="5">
        <f t="shared" si="1"/>
        <v>0.01372030295</v>
      </c>
      <c r="G37" s="3">
        <v>36.0</v>
      </c>
      <c r="H37" s="3">
        <f t="shared" si="2"/>
        <v>0.01077844311</v>
      </c>
      <c r="I37" s="3"/>
      <c r="J37" s="3"/>
      <c r="K37" s="3"/>
      <c r="L37" s="3"/>
      <c r="M37" s="3"/>
      <c r="N37" s="3"/>
      <c r="O37" s="3"/>
      <c r="P37" s="3"/>
      <c r="Q37" s="3"/>
      <c r="R37" s="3"/>
    </row>
    <row r="38" ht="14.25" hidden="1" customHeight="1">
      <c r="A38" s="3" t="s">
        <v>80</v>
      </c>
      <c r="B38" s="3" t="s">
        <v>81</v>
      </c>
      <c r="C38" s="3">
        <v>-47970.171624</v>
      </c>
      <c r="D38" s="3">
        <v>-47973.151849</v>
      </c>
      <c r="E38" s="3">
        <v>5.96045</v>
      </c>
      <c r="F38" s="5">
        <f t="shared" si="1"/>
        <v>0.01463030654</v>
      </c>
      <c r="G38" s="3">
        <v>37.0</v>
      </c>
      <c r="H38" s="3">
        <f t="shared" si="2"/>
        <v>0.01107784431</v>
      </c>
      <c r="I38" s="3"/>
      <c r="J38" s="3"/>
      <c r="K38" s="3"/>
      <c r="L38" s="3"/>
      <c r="M38" s="3"/>
      <c r="N38" s="3"/>
      <c r="O38" s="3"/>
      <c r="P38" s="3"/>
      <c r="Q38" s="3"/>
      <c r="R38" s="3"/>
    </row>
    <row r="39" ht="14.25" hidden="1" customHeight="1">
      <c r="A39" s="3" t="s">
        <v>82</v>
      </c>
      <c r="B39" s="3" t="s">
        <v>83</v>
      </c>
      <c r="C39" s="3">
        <v>-11085.998103</v>
      </c>
      <c r="D39" s="3">
        <v>-11088.966457</v>
      </c>
      <c r="E39" s="3">
        <v>5.93671</v>
      </c>
      <c r="F39" s="5">
        <f t="shared" si="1"/>
        <v>0.01482867381</v>
      </c>
      <c r="G39" s="3">
        <v>38.0</v>
      </c>
      <c r="H39" s="3">
        <f t="shared" si="2"/>
        <v>0.01137724551</v>
      </c>
      <c r="I39" s="3"/>
      <c r="J39" s="3"/>
      <c r="K39" s="3"/>
      <c r="L39" s="3"/>
      <c r="M39" s="3"/>
      <c r="N39" s="3"/>
      <c r="O39" s="3"/>
      <c r="P39" s="3"/>
      <c r="Q39" s="3"/>
      <c r="R39" s="3"/>
    </row>
    <row r="40" ht="14.25" hidden="1" customHeight="1">
      <c r="A40" s="3" t="s">
        <v>84</v>
      </c>
      <c r="B40" s="3" t="s">
        <v>85</v>
      </c>
      <c r="C40" s="3">
        <v>-38457.339657</v>
      </c>
      <c r="D40" s="3">
        <v>-38460.230847</v>
      </c>
      <c r="E40" s="3">
        <v>5.78238</v>
      </c>
      <c r="F40" s="5">
        <f t="shared" si="1"/>
        <v>0.01618760786</v>
      </c>
      <c r="G40" s="3">
        <v>39.0</v>
      </c>
      <c r="H40" s="3">
        <f t="shared" si="2"/>
        <v>0.01167664671</v>
      </c>
      <c r="I40" s="3"/>
      <c r="J40" s="3"/>
      <c r="K40" s="3"/>
      <c r="L40" s="3"/>
      <c r="M40" s="3"/>
      <c r="N40" s="3"/>
      <c r="O40" s="3"/>
      <c r="P40" s="3"/>
      <c r="Q40" s="3"/>
      <c r="R40" s="3"/>
    </row>
    <row r="41" ht="14.25" hidden="1" customHeight="1">
      <c r="A41" s="3" t="s">
        <v>86</v>
      </c>
      <c r="B41" s="3" t="s">
        <v>87</v>
      </c>
      <c r="C41" s="3">
        <v>-75149.092746</v>
      </c>
      <c r="D41" s="3">
        <v>-75151.965339</v>
      </c>
      <c r="E41" s="3">
        <v>5.74519</v>
      </c>
      <c r="F41" s="5">
        <f t="shared" si="1"/>
        <v>0.01653386707</v>
      </c>
      <c r="G41" s="3">
        <v>40.0</v>
      </c>
      <c r="H41" s="3">
        <f t="shared" si="2"/>
        <v>0.0119760479</v>
      </c>
      <c r="I41" s="3"/>
      <c r="J41" s="3"/>
      <c r="K41" s="3"/>
      <c r="L41" s="3"/>
      <c r="M41" s="3"/>
      <c r="N41" s="3"/>
      <c r="O41" s="3"/>
      <c r="P41" s="3"/>
      <c r="Q41" s="3"/>
      <c r="R41" s="3"/>
    </row>
    <row r="42" ht="14.25" hidden="1" customHeight="1">
      <c r="A42" s="3" t="s">
        <v>88</v>
      </c>
      <c r="B42" s="3" t="s">
        <v>89</v>
      </c>
      <c r="C42" s="3">
        <v>-16904.301079</v>
      </c>
      <c r="D42" s="3">
        <v>-16907.144352</v>
      </c>
      <c r="E42" s="3">
        <v>5.68655</v>
      </c>
      <c r="F42" s="5">
        <f t="shared" si="1"/>
        <v>0.01709543188</v>
      </c>
      <c r="G42" s="3">
        <v>41.0</v>
      </c>
      <c r="H42" s="3">
        <f t="shared" si="2"/>
        <v>0.0122754491</v>
      </c>
      <c r="I42" s="3"/>
      <c r="J42" s="3"/>
      <c r="K42" s="3"/>
      <c r="L42" s="3"/>
      <c r="M42" s="3"/>
      <c r="N42" s="3"/>
      <c r="O42" s="3"/>
      <c r="P42" s="3"/>
      <c r="Q42" s="3"/>
      <c r="R42" s="3"/>
    </row>
    <row r="43" ht="14.25" hidden="1" customHeight="1">
      <c r="A43" s="3" t="s">
        <v>90</v>
      </c>
      <c r="B43" s="3" t="s">
        <v>91</v>
      </c>
      <c r="C43" s="3">
        <v>-25242.802294</v>
      </c>
      <c r="D43" s="3">
        <v>-25245.551203</v>
      </c>
      <c r="E43" s="3">
        <v>5.49782</v>
      </c>
      <c r="F43" s="5">
        <f t="shared" si="1"/>
        <v>0.01904019588</v>
      </c>
      <c r="G43" s="3">
        <v>42.0</v>
      </c>
      <c r="H43" s="3">
        <f t="shared" si="2"/>
        <v>0.0125748503</v>
      </c>
      <c r="I43" s="3"/>
      <c r="J43" s="3"/>
      <c r="K43" s="3"/>
      <c r="L43" s="3"/>
      <c r="M43" s="3"/>
      <c r="N43" s="3"/>
      <c r="O43" s="3"/>
      <c r="P43" s="3"/>
      <c r="Q43" s="3"/>
      <c r="R43" s="3"/>
    </row>
    <row r="44" ht="14.25" hidden="1" customHeight="1">
      <c r="A44" s="3" t="s">
        <v>92</v>
      </c>
      <c r="B44" s="3" t="s">
        <v>93</v>
      </c>
      <c r="C44" s="3">
        <v>-17062.79389</v>
      </c>
      <c r="D44" s="3">
        <v>-17065.533735</v>
      </c>
      <c r="E44" s="3">
        <v>5.47969</v>
      </c>
      <c r="F44" s="5">
        <f t="shared" si="1"/>
        <v>0.01923867057</v>
      </c>
      <c r="G44" s="3">
        <v>43.0</v>
      </c>
      <c r="H44" s="3">
        <f t="shared" si="2"/>
        <v>0.0128742515</v>
      </c>
      <c r="I44" s="3"/>
      <c r="J44" s="3"/>
      <c r="K44" s="3"/>
      <c r="L44" s="3"/>
      <c r="M44" s="3"/>
      <c r="N44" s="3"/>
      <c r="O44" s="3"/>
      <c r="P44" s="3"/>
      <c r="Q44" s="3"/>
      <c r="R44" s="3"/>
    </row>
    <row r="45" ht="14.25" hidden="1" customHeight="1">
      <c r="A45" s="3" t="s">
        <v>94</v>
      </c>
      <c r="B45" s="3" t="s">
        <v>95</v>
      </c>
      <c r="C45" s="3">
        <v>-53087.21573</v>
      </c>
      <c r="D45" s="3">
        <v>-53089.889488</v>
      </c>
      <c r="E45" s="3">
        <v>5.34752</v>
      </c>
      <c r="F45" s="5">
        <f t="shared" si="1"/>
        <v>0.02075176695</v>
      </c>
      <c r="G45" s="3">
        <v>44.0</v>
      </c>
      <c r="H45" s="3">
        <f t="shared" si="2"/>
        <v>0.01317365269</v>
      </c>
      <c r="I45" s="3"/>
      <c r="J45" s="3"/>
      <c r="K45" s="3"/>
      <c r="L45" s="3"/>
      <c r="M45" s="3"/>
      <c r="N45" s="3"/>
      <c r="O45" s="3"/>
      <c r="P45" s="3"/>
      <c r="Q45" s="3"/>
      <c r="R45" s="3"/>
    </row>
    <row r="46" ht="14.25" hidden="1" customHeight="1">
      <c r="A46" s="3" t="s">
        <v>96</v>
      </c>
      <c r="B46" s="3" t="s">
        <v>97</v>
      </c>
      <c r="C46" s="3">
        <v>-15186.347372</v>
      </c>
      <c r="D46" s="3">
        <v>-15188.945582</v>
      </c>
      <c r="E46" s="3">
        <v>5.19642</v>
      </c>
      <c r="F46" s="5">
        <f t="shared" si="1"/>
        <v>0.02263345635</v>
      </c>
      <c r="G46" s="3">
        <v>45.0</v>
      </c>
      <c r="H46" s="3">
        <f t="shared" si="2"/>
        <v>0.01347305389</v>
      </c>
      <c r="I46" s="3"/>
      <c r="J46" s="3"/>
      <c r="K46" s="3"/>
      <c r="L46" s="3"/>
      <c r="M46" s="3"/>
      <c r="N46" s="3"/>
      <c r="O46" s="3"/>
      <c r="P46" s="3"/>
      <c r="Q46" s="3"/>
      <c r="R46" s="3"/>
    </row>
    <row r="47" ht="14.25" hidden="1" customHeight="1">
      <c r="A47" s="3" t="s">
        <v>98</v>
      </c>
      <c r="B47" s="3" t="s">
        <v>99</v>
      </c>
      <c r="C47" s="3">
        <v>-44944.635022</v>
      </c>
      <c r="D47" s="3">
        <v>-44947.101449</v>
      </c>
      <c r="E47" s="3">
        <v>4.93285</v>
      </c>
      <c r="F47" s="5">
        <f t="shared" si="1"/>
        <v>0.02635082416</v>
      </c>
      <c r="G47" s="3">
        <v>46.0</v>
      </c>
      <c r="H47" s="3">
        <f t="shared" si="2"/>
        <v>0.01377245509</v>
      </c>
      <c r="I47" s="3"/>
      <c r="J47" s="3"/>
      <c r="K47" s="3"/>
      <c r="L47" s="3"/>
      <c r="M47" s="3"/>
      <c r="N47" s="3"/>
      <c r="O47" s="3"/>
      <c r="P47" s="3"/>
      <c r="Q47" s="3"/>
      <c r="R47" s="3"/>
    </row>
    <row r="48" ht="14.25" hidden="1" customHeight="1">
      <c r="A48" s="3" t="s">
        <v>100</v>
      </c>
      <c r="B48" s="3" t="s">
        <v>101</v>
      </c>
      <c r="C48" s="3">
        <v>-20987.997323</v>
      </c>
      <c r="D48" s="3">
        <v>-20990.337582</v>
      </c>
      <c r="E48" s="3">
        <v>4.68052</v>
      </c>
      <c r="F48" s="5">
        <f t="shared" si="1"/>
        <v>0.03050651269</v>
      </c>
      <c r="G48" s="3">
        <v>47.0</v>
      </c>
      <c r="H48" s="3">
        <f t="shared" si="2"/>
        <v>0.01407185629</v>
      </c>
      <c r="I48" s="3"/>
      <c r="J48" s="3"/>
      <c r="K48" s="3"/>
      <c r="L48" s="3"/>
      <c r="M48" s="3"/>
      <c r="N48" s="3"/>
      <c r="O48" s="3"/>
      <c r="P48" s="3"/>
      <c r="Q48" s="3"/>
      <c r="R48" s="3"/>
    </row>
    <row r="49" ht="14.25" hidden="1" customHeight="1">
      <c r="A49" s="3" t="s">
        <v>102</v>
      </c>
      <c r="B49" s="3" t="s">
        <v>103</v>
      </c>
      <c r="C49" s="3">
        <v>-22140.276172</v>
      </c>
      <c r="D49" s="3">
        <v>-22142.454618</v>
      </c>
      <c r="E49" s="3">
        <v>4.35689</v>
      </c>
      <c r="F49" s="5">
        <f t="shared" si="1"/>
        <v>0.03685953795</v>
      </c>
      <c r="G49" s="3">
        <v>48.0</v>
      </c>
      <c r="H49" s="3">
        <f t="shared" si="2"/>
        <v>0.01437125749</v>
      </c>
      <c r="I49" s="3"/>
      <c r="J49" s="3"/>
      <c r="K49" s="3"/>
      <c r="L49" s="3"/>
      <c r="M49" s="3"/>
      <c r="N49" s="3"/>
      <c r="O49" s="3"/>
      <c r="P49" s="3"/>
      <c r="Q49" s="3"/>
      <c r="R49" s="3"/>
    </row>
    <row r="50" ht="14.25" hidden="1" customHeight="1">
      <c r="A50" s="3" t="s">
        <v>104</v>
      </c>
      <c r="B50" s="3" t="s">
        <v>105</v>
      </c>
      <c r="C50" s="3">
        <v>-50844.540334</v>
      </c>
      <c r="D50" s="3">
        <v>-50846.716141</v>
      </c>
      <c r="E50" s="3">
        <v>4.35161</v>
      </c>
      <c r="F50" s="5">
        <f t="shared" si="1"/>
        <v>0.03697397698</v>
      </c>
      <c r="G50" s="3">
        <v>49.0</v>
      </c>
      <c r="H50" s="3">
        <f t="shared" si="2"/>
        <v>0.01467065868</v>
      </c>
      <c r="I50" s="3"/>
      <c r="J50" s="3"/>
      <c r="K50" s="3"/>
      <c r="L50" s="3"/>
      <c r="M50" s="3"/>
      <c r="N50" s="3"/>
      <c r="O50" s="3"/>
      <c r="P50" s="3"/>
      <c r="Q50" s="3"/>
      <c r="R50" s="3"/>
    </row>
    <row r="51" ht="14.25" hidden="1" customHeight="1">
      <c r="A51" s="3" t="s">
        <v>106</v>
      </c>
      <c r="B51" s="3" t="s">
        <v>107</v>
      </c>
      <c r="C51" s="3">
        <v>-46030.831532</v>
      </c>
      <c r="D51" s="3">
        <v>-46032.899869</v>
      </c>
      <c r="E51" s="3">
        <v>4.13667</v>
      </c>
      <c r="F51" s="5">
        <f t="shared" si="1"/>
        <v>0.04196364273</v>
      </c>
      <c r="G51" s="3">
        <v>50.0</v>
      </c>
      <c r="H51" s="3">
        <f t="shared" si="2"/>
        <v>0.01497005988</v>
      </c>
      <c r="I51" s="3"/>
      <c r="J51" s="3"/>
      <c r="K51" s="3"/>
      <c r="L51" s="3"/>
      <c r="M51" s="3"/>
      <c r="N51" s="3"/>
      <c r="O51" s="3"/>
      <c r="P51" s="3"/>
      <c r="Q51" s="3"/>
      <c r="R51" s="3"/>
    </row>
    <row r="52" ht="14.25" hidden="1" customHeight="1">
      <c r="A52" s="3" t="s">
        <v>108</v>
      </c>
      <c r="B52" s="3" t="s">
        <v>109</v>
      </c>
      <c r="C52" s="3">
        <v>-115290.904729</v>
      </c>
      <c r="D52" s="3">
        <v>-115292.888961</v>
      </c>
      <c r="E52" s="3">
        <v>3.96846</v>
      </c>
      <c r="F52" s="5">
        <f t="shared" si="1"/>
        <v>0.04636015333</v>
      </c>
      <c r="G52" s="3">
        <v>51.0</v>
      </c>
      <c r="H52" s="3">
        <f t="shared" si="2"/>
        <v>0.01526946108</v>
      </c>
      <c r="I52" s="3"/>
      <c r="J52" s="3"/>
      <c r="K52" s="3"/>
      <c r="L52" s="3"/>
      <c r="M52" s="3"/>
      <c r="N52" s="3"/>
      <c r="O52" s="3"/>
      <c r="P52" s="3"/>
      <c r="Q52" s="3"/>
      <c r="R52" s="3"/>
    </row>
    <row r="53" ht="14.25" hidden="1" customHeight="1">
      <c r="A53" s="3" t="s">
        <v>110</v>
      </c>
      <c r="B53" s="3" t="s">
        <v>111</v>
      </c>
      <c r="C53" s="3">
        <v>-133949.566515</v>
      </c>
      <c r="D53" s="3">
        <v>-133951.386056</v>
      </c>
      <c r="E53" s="3">
        <v>3.63908</v>
      </c>
      <c r="F53" s="3">
        <f t="shared" si="1"/>
        <v>0.05643811301</v>
      </c>
      <c r="G53" s="3">
        <v>52.0</v>
      </c>
      <c r="H53" s="3">
        <f t="shared" si="2"/>
        <v>0.01556886228</v>
      </c>
      <c r="I53" s="3"/>
      <c r="J53" s="3"/>
      <c r="K53" s="3"/>
      <c r="L53" s="3"/>
      <c r="M53" s="3"/>
      <c r="N53" s="3"/>
      <c r="O53" s="3"/>
      <c r="P53" s="3"/>
      <c r="Q53" s="3"/>
      <c r="R53" s="3"/>
    </row>
    <row r="54" ht="14.25" hidden="1" customHeight="1">
      <c r="A54" s="3" t="s">
        <v>112</v>
      </c>
      <c r="B54" s="3" t="s">
        <v>113</v>
      </c>
      <c r="C54" s="3">
        <v>-30277.947665</v>
      </c>
      <c r="D54" s="3">
        <v>-30279.659704</v>
      </c>
      <c r="E54" s="3">
        <v>3.42408</v>
      </c>
      <c r="F54" s="3">
        <f t="shared" si="1"/>
        <v>0.0642520337</v>
      </c>
      <c r="G54" s="3">
        <v>53.0</v>
      </c>
      <c r="H54" s="3">
        <f t="shared" si="2"/>
        <v>0.01586826347</v>
      </c>
      <c r="I54" s="3"/>
      <c r="J54" s="3"/>
      <c r="K54" s="3"/>
      <c r="L54" s="3"/>
      <c r="M54" s="3"/>
      <c r="N54" s="3"/>
      <c r="O54" s="3"/>
      <c r="P54" s="3"/>
      <c r="Q54" s="3"/>
      <c r="R54" s="3"/>
    </row>
    <row r="55" ht="14.25" hidden="1" customHeight="1">
      <c r="A55" s="3" t="s">
        <v>114</v>
      </c>
      <c r="B55" s="3" t="s">
        <v>115</v>
      </c>
      <c r="C55" s="3">
        <v>-17065.980869</v>
      </c>
      <c r="D55" s="3">
        <v>-17067.66347</v>
      </c>
      <c r="E55" s="3">
        <v>3.3652</v>
      </c>
      <c r="F55" s="3">
        <f t="shared" si="1"/>
        <v>0.06658749837</v>
      </c>
      <c r="G55" s="3">
        <v>54.0</v>
      </c>
      <c r="H55" s="3">
        <f t="shared" si="2"/>
        <v>0.01616766467</v>
      </c>
      <c r="I55" s="3"/>
      <c r="J55" s="3"/>
      <c r="K55" s="3"/>
      <c r="L55" s="3"/>
      <c r="M55" s="3"/>
      <c r="N55" s="3"/>
      <c r="O55" s="3"/>
      <c r="P55" s="3"/>
      <c r="Q55" s="3"/>
      <c r="R55" s="3"/>
    </row>
    <row r="56" ht="14.25" hidden="1" customHeight="1">
      <c r="A56" s="3" t="s">
        <v>116</v>
      </c>
      <c r="B56" s="3" t="s">
        <v>117</v>
      </c>
      <c r="C56" s="3">
        <v>-15299.589379</v>
      </c>
      <c r="D56" s="3">
        <v>-15301.173721</v>
      </c>
      <c r="E56" s="3">
        <v>3.16868</v>
      </c>
      <c r="F56" s="3">
        <f t="shared" si="1"/>
        <v>0.0750630901</v>
      </c>
      <c r="G56" s="3">
        <v>55.0</v>
      </c>
      <c r="H56" s="3">
        <f t="shared" si="2"/>
        <v>0.01646706587</v>
      </c>
      <c r="I56" s="3"/>
      <c r="J56" s="3"/>
      <c r="K56" s="3"/>
      <c r="L56" s="3"/>
      <c r="M56" s="3"/>
      <c r="N56" s="3"/>
      <c r="O56" s="3"/>
      <c r="P56" s="3"/>
      <c r="Q56" s="3"/>
      <c r="R56" s="3"/>
    </row>
    <row r="57" ht="14.25" hidden="1" customHeight="1">
      <c r="A57" s="3" t="s">
        <v>118</v>
      </c>
      <c r="B57" s="3" t="s">
        <v>119</v>
      </c>
      <c r="C57" s="3">
        <v>-15875.490647</v>
      </c>
      <c r="D57" s="3">
        <v>-15877.064671</v>
      </c>
      <c r="E57" s="3">
        <v>3.14805</v>
      </c>
      <c r="F57" s="3">
        <f t="shared" si="1"/>
        <v>0.07601775644</v>
      </c>
      <c r="G57" s="3">
        <v>56.0</v>
      </c>
      <c r="H57" s="3">
        <f t="shared" si="2"/>
        <v>0.01676646707</v>
      </c>
      <c r="I57" s="3"/>
      <c r="J57" s="3"/>
      <c r="K57" s="3"/>
      <c r="L57" s="3"/>
      <c r="M57" s="3"/>
      <c r="N57" s="3"/>
      <c r="O57" s="3"/>
      <c r="P57" s="3"/>
      <c r="Q57" s="3"/>
      <c r="R57" s="3"/>
    </row>
    <row r="58" ht="14.25" hidden="1" customHeight="1">
      <c r="A58" s="3" t="s">
        <v>120</v>
      </c>
      <c r="B58" s="3" t="s">
        <v>121</v>
      </c>
      <c r="C58" s="3">
        <v>-29578.673267</v>
      </c>
      <c r="D58" s="3">
        <v>-29579.862796</v>
      </c>
      <c r="E58" s="3">
        <v>2.37906</v>
      </c>
      <c r="F58" s="3">
        <f t="shared" si="1"/>
        <v>0.1229715218</v>
      </c>
      <c r="G58" s="3">
        <v>57.0</v>
      </c>
      <c r="H58" s="3">
        <f t="shared" si="2"/>
        <v>0.01706586826</v>
      </c>
      <c r="I58" s="3"/>
      <c r="J58" s="3"/>
      <c r="K58" s="3"/>
      <c r="L58" s="3"/>
      <c r="M58" s="3"/>
      <c r="N58" s="3"/>
      <c r="O58" s="3"/>
      <c r="P58" s="3"/>
      <c r="Q58" s="3"/>
      <c r="R58" s="3"/>
    </row>
    <row r="59" ht="14.25" hidden="1" customHeight="1">
      <c r="A59" s="3" t="s">
        <v>122</v>
      </c>
      <c r="B59" s="3" t="s">
        <v>123</v>
      </c>
      <c r="C59" s="3">
        <v>-49980.107808</v>
      </c>
      <c r="D59" s="3">
        <v>-49981.229375</v>
      </c>
      <c r="E59" s="3">
        <v>2.24313</v>
      </c>
      <c r="F59" s="3">
        <f t="shared" si="1"/>
        <v>0.1342090676</v>
      </c>
      <c r="G59" s="3">
        <v>58.0</v>
      </c>
      <c r="H59" s="3">
        <f t="shared" si="2"/>
        <v>0.01736526946</v>
      </c>
      <c r="I59" s="3"/>
      <c r="J59" s="3"/>
      <c r="K59" s="3"/>
      <c r="L59" s="3"/>
      <c r="M59" s="3"/>
      <c r="N59" s="3"/>
      <c r="O59" s="3"/>
      <c r="P59" s="3"/>
      <c r="Q59" s="3"/>
      <c r="R59" s="3"/>
    </row>
    <row r="60" ht="14.25" hidden="1" customHeight="1">
      <c r="A60" s="3" t="s">
        <v>124</v>
      </c>
      <c r="B60" s="3" t="s">
        <v>125</v>
      </c>
      <c r="C60" s="3">
        <v>-15534.35545</v>
      </c>
      <c r="D60" s="3">
        <v>-15535.464032</v>
      </c>
      <c r="E60" s="3">
        <v>2.21716</v>
      </c>
      <c r="F60" s="3">
        <f t="shared" si="1"/>
        <v>0.1364839202</v>
      </c>
      <c r="G60" s="3">
        <v>59.0</v>
      </c>
      <c r="H60" s="3">
        <f t="shared" si="2"/>
        <v>0.01766467066</v>
      </c>
      <c r="I60" s="3"/>
      <c r="J60" s="3"/>
      <c r="K60" s="3"/>
      <c r="L60" s="3"/>
      <c r="M60" s="3"/>
      <c r="N60" s="3"/>
      <c r="O60" s="3"/>
      <c r="P60" s="3"/>
      <c r="Q60" s="3"/>
      <c r="R60" s="3"/>
    </row>
    <row r="61" ht="14.25" hidden="1" customHeight="1">
      <c r="A61" s="3" t="s">
        <v>126</v>
      </c>
      <c r="B61" s="3" t="s">
        <v>127</v>
      </c>
      <c r="C61" s="3">
        <v>-33809.287947</v>
      </c>
      <c r="D61" s="3">
        <v>-33810.391376</v>
      </c>
      <c r="E61" s="3">
        <v>2.20686</v>
      </c>
      <c r="F61" s="3">
        <f t="shared" si="1"/>
        <v>0.1373980821</v>
      </c>
      <c r="G61" s="3">
        <v>60.0</v>
      </c>
      <c r="H61" s="3">
        <f t="shared" si="2"/>
        <v>0.01796407186</v>
      </c>
      <c r="I61" s="3"/>
      <c r="J61" s="3"/>
      <c r="K61" s="3"/>
      <c r="L61" s="3"/>
      <c r="M61" s="3"/>
      <c r="N61" s="3"/>
      <c r="O61" s="3"/>
      <c r="P61" s="3"/>
      <c r="Q61" s="3"/>
      <c r="R61" s="3"/>
    </row>
    <row r="62" ht="14.25" hidden="1" customHeight="1">
      <c r="A62" s="3" t="s">
        <v>128</v>
      </c>
      <c r="B62" s="3" t="s">
        <v>129</v>
      </c>
      <c r="C62" s="3">
        <v>-15295.791806</v>
      </c>
      <c r="D62" s="3">
        <v>-15296.876079</v>
      </c>
      <c r="E62" s="3">
        <v>2.16855</v>
      </c>
      <c r="F62" s="3">
        <f t="shared" si="1"/>
        <v>0.1408589944</v>
      </c>
      <c r="G62" s="3">
        <v>61.0</v>
      </c>
      <c r="H62" s="3">
        <f t="shared" si="2"/>
        <v>0.01826347305</v>
      </c>
      <c r="I62" s="3"/>
      <c r="J62" s="3"/>
      <c r="K62" s="3"/>
      <c r="L62" s="3"/>
      <c r="M62" s="3"/>
      <c r="N62" s="3"/>
      <c r="O62" s="3"/>
      <c r="P62" s="3"/>
      <c r="Q62" s="3"/>
      <c r="R62" s="3"/>
    </row>
    <row r="63" ht="14.25" hidden="1" customHeight="1">
      <c r="A63" s="3" t="s">
        <v>130</v>
      </c>
      <c r="B63" s="3" t="s">
        <v>131</v>
      </c>
      <c r="C63" s="3">
        <v>-52640.556394</v>
      </c>
      <c r="D63" s="3">
        <v>-52641.63564</v>
      </c>
      <c r="E63" s="3">
        <v>2.15849</v>
      </c>
      <c r="F63" s="3">
        <f t="shared" si="1"/>
        <v>0.1417839617</v>
      </c>
      <c r="G63" s="3">
        <v>62.0</v>
      </c>
      <c r="H63" s="3">
        <f t="shared" si="2"/>
        <v>0.01856287425</v>
      </c>
      <c r="I63" s="3"/>
      <c r="J63" s="3"/>
      <c r="K63" s="3"/>
      <c r="L63" s="3"/>
      <c r="M63" s="3"/>
      <c r="N63" s="3"/>
      <c r="O63" s="3"/>
      <c r="P63" s="3"/>
      <c r="Q63" s="3"/>
      <c r="R63" s="3"/>
    </row>
    <row r="64" ht="14.25" hidden="1" customHeight="1">
      <c r="A64" s="3" t="s">
        <v>132</v>
      </c>
      <c r="B64" s="3" t="s">
        <v>133</v>
      </c>
      <c r="C64" s="3">
        <v>-49920.196759</v>
      </c>
      <c r="D64" s="3">
        <v>-49921.228831</v>
      </c>
      <c r="E64" s="3">
        <v>2.06414</v>
      </c>
      <c r="F64" s="3">
        <f t="shared" si="1"/>
        <v>0.1507999794</v>
      </c>
      <c r="G64" s="3">
        <v>63.0</v>
      </c>
      <c r="H64" s="3">
        <f t="shared" si="2"/>
        <v>0.01886227545</v>
      </c>
      <c r="I64" s="3"/>
      <c r="J64" s="3"/>
      <c r="K64" s="3"/>
      <c r="L64" s="3"/>
      <c r="M64" s="3"/>
      <c r="N64" s="3"/>
      <c r="O64" s="3"/>
      <c r="P64" s="3"/>
      <c r="Q64" s="3"/>
      <c r="R64" s="3"/>
    </row>
    <row r="65" ht="14.25" hidden="1" customHeight="1">
      <c r="A65" s="3" t="s">
        <v>134</v>
      </c>
      <c r="B65" s="3" t="s">
        <v>135</v>
      </c>
      <c r="C65" s="3">
        <v>-50827.842018</v>
      </c>
      <c r="D65" s="3">
        <v>-50828.810034</v>
      </c>
      <c r="E65" s="3">
        <v>1.93603</v>
      </c>
      <c r="F65" s="3">
        <f t="shared" si="1"/>
        <v>0.1641002396</v>
      </c>
      <c r="G65" s="3">
        <v>64.0</v>
      </c>
      <c r="H65" s="3">
        <f t="shared" si="2"/>
        <v>0.01916167665</v>
      </c>
      <c r="I65" s="3"/>
      <c r="J65" s="3"/>
      <c r="K65" s="3"/>
      <c r="L65" s="3"/>
      <c r="M65" s="3"/>
      <c r="N65" s="3"/>
      <c r="O65" s="3"/>
      <c r="P65" s="3"/>
      <c r="Q65" s="3"/>
      <c r="R65" s="3"/>
    </row>
    <row r="66" ht="14.25" hidden="1" customHeight="1">
      <c r="A66" s="3" t="s">
        <v>136</v>
      </c>
      <c r="B66" s="3" t="s">
        <v>137</v>
      </c>
      <c r="C66" s="3">
        <v>-22426.681786</v>
      </c>
      <c r="D66" s="3">
        <v>-22427.613644</v>
      </c>
      <c r="E66" s="3">
        <v>1.86372</v>
      </c>
      <c r="F66" s="3">
        <f t="shared" si="1"/>
        <v>0.1721960722</v>
      </c>
      <c r="G66" s="3">
        <v>65.0</v>
      </c>
      <c r="H66" s="3">
        <f t="shared" si="2"/>
        <v>0.01946107784</v>
      </c>
      <c r="I66" s="3"/>
      <c r="J66" s="3"/>
      <c r="K66" s="3"/>
      <c r="L66" s="3"/>
      <c r="M66" s="3"/>
      <c r="N66" s="3"/>
      <c r="O66" s="3"/>
      <c r="P66" s="3"/>
      <c r="Q66" s="3"/>
      <c r="R66" s="3"/>
    </row>
    <row r="67" ht="14.25" hidden="1" customHeight="1">
      <c r="A67" s="3" t="s">
        <v>138</v>
      </c>
      <c r="B67" s="3" t="s">
        <v>139</v>
      </c>
      <c r="C67" s="3">
        <v>-24935.853627</v>
      </c>
      <c r="D67" s="3">
        <v>-24936.783781</v>
      </c>
      <c r="E67" s="3">
        <v>1.86031</v>
      </c>
      <c r="F67" s="3">
        <f t="shared" si="1"/>
        <v>0.1725890261</v>
      </c>
      <c r="G67" s="3">
        <v>66.0</v>
      </c>
      <c r="H67" s="3">
        <f t="shared" si="2"/>
        <v>0.01976047904</v>
      </c>
      <c r="I67" s="3"/>
      <c r="J67" s="3"/>
      <c r="K67" s="3"/>
      <c r="L67" s="3"/>
      <c r="M67" s="3"/>
      <c r="N67" s="3"/>
      <c r="O67" s="3"/>
      <c r="P67" s="3"/>
      <c r="Q67" s="3"/>
      <c r="R67" s="3"/>
    </row>
    <row r="68" ht="14.25" hidden="1" customHeight="1">
      <c r="A68" s="3" t="s">
        <v>140</v>
      </c>
      <c r="B68" s="3" t="s">
        <v>141</v>
      </c>
      <c r="C68" s="3">
        <v>-25538.224813</v>
      </c>
      <c r="D68" s="3">
        <v>-25539.068047</v>
      </c>
      <c r="E68" s="3">
        <v>1.68647</v>
      </c>
      <c r="F68" s="3">
        <f t="shared" si="1"/>
        <v>0.1940669552</v>
      </c>
      <c r="G68" s="3">
        <v>67.0</v>
      </c>
      <c r="H68" s="3">
        <f t="shared" si="2"/>
        <v>0.02005988024</v>
      </c>
      <c r="I68" s="3"/>
      <c r="J68" s="3"/>
      <c r="K68" s="3"/>
      <c r="L68" s="3"/>
      <c r="M68" s="3"/>
      <c r="N68" s="3"/>
      <c r="O68" s="3"/>
      <c r="P68" s="3"/>
      <c r="Q68" s="3"/>
      <c r="R68" s="3"/>
    </row>
    <row r="69" ht="14.25" hidden="1" customHeight="1">
      <c r="A69" s="3" t="s">
        <v>142</v>
      </c>
      <c r="B69" s="3" t="s">
        <v>143</v>
      </c>
      <c r="C69" s="3">
        <v>-43457.439998</v>
      </c>
      <c r="D69" s="3">
        <v>-43458.256466</v>
      </c>
      <c r="E69" s="3">
        <v>1.63294</v>
      </c>
      <c r="F69" s="3">
        <f t="shared" si="1"/>
        <v>0.201296887</v>
      </c>
      <c r="G69" s="3">
        <v>68.0</v>
      </c>
      <c r="H69" s="3">
        <f t="shared" si="2"/>
        <v>0.02035928144</v>
      </c>
      <c r="I69" s="3"/>
      <c r="J69" s="3"/>
      <c r="K69" s="3"/>
      <c r="L69" s="3"/>
      <c r="M69" s="3"/>
      <c r="N69" s="3"/>
      <c r="O69" s="3"/>
      <c r="P69" s="3"/>
      <c r="Q69" s="3"/>
      <c r="R69" s="3"/>
    </row>
    <row r="70" ht="14.25" hidden="1" customHeight="1">
      <c r="A70" s="3" t="s">
        <v>144</v>
      </c>
      <c r="B70" s="3" t="s">
        <v>145</v>
      </c>
      <c r="C70" s="3">
        <v>-50065.56911</v>
      </c>
      <c r="D70" s="3">
        <v>-50066.368173</v>
      </c>
      <c r="E70" s="3">
        <v>1.59813</v>
      </c>
      <c r="F70" s="3">
        <f t="shared" si="1"/>
        <v>0.2061684184</v>
      </c>
      <c r="G70" s="3">
        <v>69.0</v>
      </c>
      <c r="H70" s="3">
        <f t="shared" si="2"/>
        <v>0.02065868263</v>
      </c>
      <c r="I70" s="3"/>
      <c r="J70" s="3"/>
      <c r="K70" s="3"/>
      <c r="L70" s="3"/>
      <c r="M70" s="3"/>
      <c r="N70" s="3"/>
      <c r="O70" s="3"/>
      <c r="P70" s="3"/>
      <c r="Q70" s="3"/>
      <c r="R70" s="3"/>
    </row>
    <row r="71" ht="14.25" hidden="1" customHeight="1">
      <c r="A71" s="3" t="s">
        <v>146</v>
      </c>
      <c r="B71" s="3" t="s">
        <v>147</v>
      </c>
      <c r="C71" s="3">
        <v>-73299.655138</v>
      </c>
      <c r="D71" s="3">
        <v>-73300.444831</v>
      </c>
      <c r="E71" s="3">
        <v>1.57939</v>
      </c>
      <c r="F71" s="3">
        <f t="shared" si="1"/>
        <v>0.2088485809</v>
      </c>
      <c r="G71" s="3">
        <v>70.0</v>
      </c>
      <c r="H71" s="3">
        <f t="shared" si="2"/>
        <v>0.02095808383</v>
      </c>
      <c r="I71" s="3"/>
      <c r="J71" s="3"/>
      <c r="K71" s="3"/>
      <c r="L71" s="3"/>
      <c r="M71" s="3"/>
      <c r="N71" s="3"/>
      <c r="O71" s="3"/>
      <c r="P71" s="3"/>
      <c r="Q71" s="3"/>
      <c r="R71" s="3"/>
    </row>
    <row r="72" ht="14.25" hidden="1" customHeight="1">
      <c r="A72" s="3" t="s">
        <v>148</v>
      </c>
      <c r="B72" s="3" t="s">
        <v>149</v>
      </c>
      <c r="C72" s="3">
        <v>-14040.821759</v>
      </c>
      <c r="D72" s="3">
        <v>-14041.581194</v>
      </c>
      <c r="E72" s="3">
        <v>1.51887</v>
      </c>
      <c r="F72" s="3">
        <f t="shared" si="1"/>
        <v>0.217790576</v>
      </c>
      <c r="G72" s="3">
        <v>71.0</v>
      </c>
      <c r="H72" s="3">
        <f t="shared" si="2"/>
        <v>0.02125748503</v>
      </c>
      <c r="I72" s="3"/>
      <c r="J72" s="3"/>
      <c r="K72" s="3"/>
      <c r="L72" s="3"/>
      <c r="M72" s="3"/>
      <c r="N72" s="3"/>
      <c r="O72" s="3"/>
      <c r="P72" s="3"/>
      <c r="Q72" s="3"/>
      <c r="R72" s="3"/>
    </row>
    <row r="73" ht="14.25" hidden="1" customHeight="1">
      <c r="A73" s="3" t="s">
        <v>150</v>
      </c>
      <c r="B73" s="3" t="s">
        <v>151</v>
      </c>
      <c r="C73" s="3">
        <v>-90159.242116</v>
      </c>
      <c r="D73" s="3">
        <v>-90160.000744</v>
      </c>
      <c r="E73" s="3">
        <v>1.51726</v>
      </c>
      <c r="F73" s="3">
        <f t="shared" si="1"/>
        <v>0.2180346083</v>
      </c>
      <c r="G73" s="3">
        <v>72.0</v>
      </c>
      <c r="H73" s="3">
        <f t="shared" si="2"/>
        <v>0.02155688623</v>
      </c>
      <c r="I73" s="3"/>
      <c r="J73" s="3"/>
      <c r="K73" s="3"/>
      <c r="L73" s="3"/>
      <c r="M73" s="3"/>
      <c r="N73" s="3"/>
      <c r="O73" s="3"/>
      <c r="P73" s="3"/>
      <c r="Q73" s="3"/>
      <c r="R73" s="3"/>
    </row>
    <row r="74" ht="14.25" hidden="1" customHeight="1">
      <c r="A74" s="3" t="s">
        <v>152</v>
      </c>
      <c r="B74" s="3" t="s">
        <v>153</v>
      </c>
      <c r="C74" s="3">
        <v>-22377.572103</v>
      </c>
      <c r="D74" s="3">
        <v>-22378.253497</v>
      </c>
      <c r="E74" s="3">
        <v>1.36279</v>
      </c>
      <c r="F74" s="3">
        <f t="shared" si="1"/>
        <v>0.2430545349</v>
      </c>
      <c r="G74" s="3">
        <v>73.0</v>
      </c>
      <c r="H74" s="3">
        <f t="shared" si="2"/>
        <v>0.02185628743</v>
      </c>
      <c r="I74" s="3"/>
      <c r="J74" s="3"/>
      <c r="K74" s="3"/>
      <c r="L74" s="3"/>
      <c r="M74" s="3"/>
      <c r="N74" s="3"/>
      <c r="O74" s="3"/>
      <c r="P74" s="3"/>
      <c r="Q74" s="3"/>
      <c r="R74" s="3"/>
    </row>
    <row r="75" ht="14.25" hidden="1" customHeight="1">
      <c r="A75" s="3" t="s">
        <v>154</v>
      </c>
      <c r="B75" s="3" t="s">
        <v>155</v>
      </c>
      <c r="C75" s="3">
        <v>-113469.411497</v>
      </c>
      <c r="D75" s="3">
        <v>-113470.070073</v>
      </c>
      <c r="E75" s="3">
        <v>1.31715</v>
      </c>
      <c r="F75" s="3">
        <f t="shared" si="1"/>
        <v>0.2511041778</v>
      </c>
      <c r="G75" s="3">
        <v>74.0</v>
      </c>
      <c r="H75" s="3">
        <f t="shared" si="2"/>
        <v>0.02215568862</v>
      </c>
      <c r="I75" s="3"/>
      <c r="J75" s="3"/>
      <c r="K75" s="3"/>
      <c r="L75" s="3"/>
      <c r="M75" s="3"/>
      <c r="N75" s="3"/>
      <c r="O75" s="3"/>
      <c r="P75" s="3"/>
      <c r="Q75" s="3"/>
      <c r="R75" s="3"/>
    </row>
    <row r="76" ht="14.25" hidden="1" customHeight="1">
      <c r="A76" s="3" t="s">
        <v>156</v>
      </c>
      <c r="B76" s="3" t="s">
        <v>157</v>
      </c>
      <c r="C76" s="3">
        <v>-40992.755715</v>
      </c>
      <c r="D76" s="3">
        <v>-40993.413362</v>
      </c>
      <c r="E76" s="3">
        <v>1.31529</v>
      </c>
      <c r="F76" s="3">
        <f t="shared" si="1"/>
        <v>0.251439101</v>
      </c>
      <c r="G76" s="3">
        <v>75.0</v>
      </c>
      <c r="H76" s="3">
        <f t="shared" si="2"/>
        <v>0.02245508982</v>
      </c>
      <c r="I76" s="3"/>
      <c r="J76" s="3"/>
      <c r="K76" s="3"/>
      <c r="L76" s="3"/>
      <c r="M76" s="3"/>
      <c r="N76" s="3"/>
      <c r="O76" s="3"/>
      <c r="P76" s="3"/>
      <c r="Q76" s="3"/>
      <c r="R76" s="3"/>
    </row>
    <row r="77" ht="14.25" hidden="1" customHeight="1">
      <c r="A77" s="3" t="s">
        <v>158</v>
      </c>
      <c r="B77" s="3" t="s">
        <v>43</v>
      </c>
      <c r="C77" s="3">
        <v>-27780.8072</v>
      </c>
      <c r="D77" s="3">
        <v>-27781.453945</v>
      </c>
      <c r="E77" s="3">
        <v>1.29349</v>
      </c>
      <c r="F77" s="3">
        <f t="shared" si="1"/>
        <v>0.2554057829</v>
      </c>
      <c r="G77" s="3">
        <v>76.0</v>
      </c>
      <c r="H77" s="3">
        <f t="shared" si="2"/>
        <v>0.02275449102</v>
      </c>
      <c r="I77" s="3"/>
      <c r="J77" s="3"/>
      <c r="K77" s="3"/>
      <c r="L77" s="3"/>
      <c r="M77" s="3"/>
      <c r="N77" s="3"/>
      <c r="O77" s="3"/>
      <c r="P77" s="3"/>
      <c r="Q77" s="3"/>
      <c r="R77" s="3"/>
    </row>
    <row r="78" ht="14.25" hidden="1" customHeight="1">
      <c r="A78" s="3" t="s">
        <v>159</v>
      </c>
      <c r="B78" s="3" t="s">
        <v>160</v>
      </c>
      <c r="C78" s="3">
        <v>-23975.175803</v>
      </c>
      <c r="D78" s="3">
        <v>-23975.773989</v>
      </c>
      <c r="E78" s="3">
        <v>1.19637</v>
      </c>
      <c r="F78" s="3">
        <f t="shared" si="1"/>
        <v>0.2740484073</v>
      </c>
      <c r="G78" s="3">
        <v>77.0</v>
      </c>
      <c r="H78" s="3">
        <f t="shared" si="2"/>
        <v>0.02305389222</v>
      </c>
      <c r="I78" s="3"/>
      <c r="J78" s="3"/>
      <c r="K78" s="3"/>
      <c r="L78" s="3"/>
      <c r="M78" s="3"/>
      <c r="N78" s="3"/>
      <c r="O78" s="3"/>
      <c r="P78" s="3"/>
      <c r="Q78" s="3"/>
      <c r="R78" s="3"/>
    </row>
    <row r="79" ht="14.25" hidden="1" customHeight="1">
      <c r="A79" s="3" t="s">
        <v>161</v>
      </c>
      <c r="B79" s="3" t="s">
        <v>162</v>
      </c>
      <c r="C79" s="3">
        <v>-17637.826022</v>
      </c>
      <c r="D79" s="3">
        <v>-17638.393542</v>
      </c>
      <c r="E79" s="3">
        <v>1.13504</v>
      </c>
      <c r="F79" s="3">
        <f t="shared" si="1"/>
        <v>0.2867028454</v>
      </c>
      <c r="G79" s="3">
        <v>78.0</v>
      </c>
      <c r="H79" s="3">
        <f t="shared" si="2"/>
        <v>0.02335329341</v>
      </c>
      <c r="I79" s="3"/>
      <c r="J79" s="3"/>
      <c r="K79" s="3"/>
      <c r="L79" s="3"/>
      <c r="M79" s="3"/>
      <c r="N79" s="3"/>
      <c r="O79" s="3"/>
      <c r="P79" s="3"/>
      <c r="Q79" s="3"/>
      <c r="R79" s="3"/>
    </row>
    <row r="80" ht="14.25" hidden="1" customHeight="1">
      <c r="A80" s="3" t="s">
        <v>163</v>
      </c>
      <c r="B80" s="3" t="s">
        <v>164</v>
      </c>
      <c r="C80" s="3">
        <v>-29824.088538</v>
      </c>
      <c r="D80" s="3">
        <v>-29824.466759</v>
      </c>
      <c r="E80" s="3">
        <v>0.756442</v>
      </c>
      <c r="F80" s="3">
        <f t="shared" si="1"/>
        <v>0.3844442884</v>
      </c>
      <c r="G80" s="3">
        <v>79.0</v>
      </c>
      <c r="H80" s="3">
        <f t="shared" si="2"/>
        <v>0.02365269461</v>
      </c>
      <c r="I80" s="3"/>
      <c r="J80" s="3"/>
      <c r="K80" s="3"/>
      <c r="L80" s="3"/>
      <c r="M80" s="3"/>
      <c r="N80" s="3"/>
      <c r="O80" s="3"/>
      <c r="P80" s="3"/>
      <c r="Q80" s="3"/>
      <c r="R80" s="3"/>
    </row>
    <row r="81" ht="14.25" hidden="1" customHeight="1">
      <c r="A81" s="3" t="s">
        <v>165</v>
      </c>
      <c r="B81" s="3" t="s">
        <v>166</v>
      </c>
      <c r="C81" s="3">
        <v>-13592.174326</v>
      </c>
      <c r="D81" s="3">
        <v>-13592.534418</v>
      </c>
      <c r="E81" s="3">
        <v>0.720184</v>
      </c>
      <c r="F81" s="3">
        <f t="shared" si="1"/>
        <v>0.3960835605</v>
      </c>
      <c r="G81" s="3">
        <v>80.0</v>
      </c>
      <c r="H81" s="3">
        <f t="shared" si="2"/>
        <v>0.02395209581</v>
      </c>
      <c r="I81" s="3"/>
      <c r="J81" s="3"/>
      <c r="K81" s="3"/>
      <c r="L81" s="3"/>
      <c r="M81" s="3"/>
      <c r="N81" s="3"/>
      <c r="O81" s="3"/>
      <c r="P81" s="3"/>
      <c r="Q81" s="3"/>
      <c r="R81" s="3"/>
    </row>
    <row r="82" ht="14.25" hidden="1" customHeight="1">
      <c r="A82" s="3" t="s">
        <v>167</v>
      </c>
      <c r="B82" s="3" t="s">
        <v>168</v>
      </c>
      <c r="C82" s="3">
        <v>-46292.199531</v>
      </c>
      <c r="D82" s="3">
        <v>-46292.557259</v>
      </c>
      <c r="E82" s="3">
        <v>0.715456</v>
      </c>
      <c r="F82" s="3">
        <f t="shared" si="1"/>
        <v>0.3976384806</v>
      </c>
      <c r="G82" s="3">
        <v>81.0</v>
      </c>
      <c r="H82" s="3">
        <f t="shared" si="2"/>
        <v>0.02425149701</v>
      </c>
      <c r="I82" s="3"/>
      <c r="J82" s="3"/>
      <c r="K82" s="3"/>
      <c r="L82" s="3"/>
      <c r="M82" s="3"/>
      <c r="N82" s="3"/>
      <c r="O82" s="3"/>
      <c r="P82" s="3"/>
      <c r="Q82" s="3"/>
      <c r="R82" s="3"/>
    </row>
    <row r="83" ht="14.25" hidden="1" customHeight="1">
      <c r="A83" s="3" t="s">
        <v>169</v>
      </c>
      <c r="B83" s="3" t="s">
        <v>170</v>
      </c>
      <c r="C83" s="3">
        <v>-27916.736365</v>
      </c>
      <c r="D83" s="3">
        <v>-27917.081659</v>
      </c>
      <c r="E83" s="3">
        <v>0.690588</v>
      </c>
      <c r="F83" s="3">
        <f t="shared" si="1"/>
        <v>0.4059644521</v>
      </c>
      <c r="G83" s="3">
        <v>82.0</v>
      </c>
      <c r="H83" s="3">
        <f t="shared" si="2"/>
        <v>0.0245508982</v>
      </c>
      <c r="I83" s="3"/>
      <c r="J83" s="3"/>
      <c r="K83" s="3"/>
      <c r="L83" s="3"/>
      <c r="M83" s="3"/>
      <c r="N83" s="3"/>
      <c r="O83" s="3"/>
      <c r="P83" s="3"/>
      <c r="Q83" s="3"/>
      <c r="R83" s="3"/>
    </row>
    <row r="84" ht="14.25" hidden="1" customHeight="1">
      <c r="A84" s="3" t="s">
        <v>171</v>
      </c>
      <c r="B84" s="3" t="s">
        <v>172</v>
      </c>
      <c r="C84" s="3">
        <v>-35212.910846</v>
      </c>
      <c r="D84" s="3">
        <v>-35213.182952</v>
      </c>
      <c r="E84" s="3">
        <v>0.544212</v>
      </c>
      <c r="F84" s="3">
        <f t="shared" si="1"/>
        <v>0.46069236</v>
      </c>
      <c r="G84" s="3">
        <v>83.0</v>
      </c>
      <c r="H84" s="3">
        <f t="shared" si="2"/>
        <v>0.0248502994</v>
      </c>
      <c r="I84" s="3"/>
      <c r="J84" s="3"/>
      <c r="K84" s="3"/>
      <c r="L84" s="3"/>
      <c r="M84" s="3"/>
      <c r="N84" s="3"/>
      <c r="O84" s="3"/>
      <c r="P84" s="3"/>
      <c r="Q84" s="3"/>
      <c r="R84" s="3"/>
    </row>
    <row r="85" ht="14.25" hidden="1" customHeight="1">
      <c r="A85" s="3" t="s">
        <v>173</v>
      </c>
      <c r="B85" s="3" t="s">
        <v>174</v>
      </c>
      <c r="C85" s="3">
        <v>-37417.006185</v>
      </c>
      <c r="D85" s="3">
        <v>-37417.270587</v>
      </c>
      <c r="E85" s="3">
        <v>0.528804</v>
      </c>
      <c r="F85" s="3">
        <f t="shared" si="1"/>
        <v>0.4671101171</v>
      </c>
      <c r="G85" s="3">
        <v>84.0</v>
      </c>
      <c r="H85" s="3">
        <f t="shared" si="2"/>
        <v>0.0251497006</v>
      </c>
      <c r="I85" s="3"/>
      <c r="J85" s="3"/>
      <c r="K85" s="3"/>
      <c r="L85" s="3"/>
      <c r="M85" s="3"/>
      <c r="N85" s="3"/>
      <c r="O85" s="3"/>
      <c r="P85" s="3"/>
      <c r="Q85" s="3"/>
      <c r="R85" s="3"/>
    </row>
    <row r="86" ht="14.25" hidden="1" customHeight="1">
      <c r="A86" s="3" t="s">
        <v>175</v>
      </c>
      <c r="B86" s="3" t="s">
        <v>176</v>
      </c>
      <c r="C86" s="3">
        <v>-54643.809707</v>
      </c>
      <c r="D86" s="3">
        <v>-54644.031186</v>
      </c>
      <c r="E86" s="3">
        <v>0.442958</v>
      </c>
      <c r="F86" s="3">
        <f t="shared" si="1"/>
        <v>0.5056981992</v>
      </c>
      <c r="G86" s="3">
        <v>85.0</v>
      </c>
      <c r="H86" s="3">
        <f t="shared" si="2"/>
        <v>0.0254491018</v>
      </c>
      <c r="I86" s="3"/>
      <c r="J86" s="3"/>
      <c r="K86" s="3"/>
      <c r="L86" s="3"/>
      <c r="M86" s="3"/>
      <c r="N86" s="3"/>
      <c r="O86" s="3"/>
      <c r="P86" s="3"/>
      <c r="Q86" s="3"/>
      <c r="R86" s="3"/>
    </row>
    <row r="87" ht="14.25" hidden="1" customHeight="1">
      <c r="A87" s="3" t="s">
        <v>177</v>
      </c>
      <c r="B87" s="3" t="s">
        <v>178</v>
      </c>
      <c r="C87" s="3">
        <v>-20185.685208</v>
      </c>
      <c r="D87" s="3">
        <v>-20185.903083</v>
      </c>
      <c r="E87" s="3">
        <v>0.43575</v>
      </c>
      <c r="F87" s="3">
        <f t="shared" si="1"/>
        <v>0.5091809148</v>
      </c>
      <c r="G87" s="3">
        <v>86.0</v>
      </c>
      <c r="H87" s="3">
        <f t="shared" si="2"/>
        <v>0.02574850299</v>
      </c>
      <c r="I87" s="3"/>
      <c r="J87" s="3"/>
      <c r="K87" s="3"/>
      <c r="L87" s="3"/>
      <c r="M87" s="3"/>
      <c r="N87" s="3"/>
      <c r="O87" s="3"/>
      <c r="P87" s="3"/>
      <c r="Q87" s="3"/>
      <c r="R87" s="3"/>
    </row>
    <row r="88" ht="14.25" hidden="1" customHeight="1">
      <c r="A88" s="3" t="s">
        <v>179</v>
      </c>
      <c r="B88" s="3" t="s">
        <v>180</v>
      </c>
      <c r="C88" s="3">
        <v>-64824.665746</v>
      </c>
      <c r="D88" s="3">
        <v>-64824.880355</v>
      </c>
      <c r="E88" s="3">
        <v>0.429218</v>
      </c>
      <c r="F88" s="3">
        <f t="shared" si="1"/>
        <v>0.5123729134</v>
      </c>
      <c r="G88" s="3">
        <v>87.0</v>
      </c>
      <c r="H88" s="3">
        <f t="shared" si="2"/>
        <v>0.02604790419</v>
      </c>
      <c r="I88" s="3"/>
      <c r="J88" s="3"/>
      <c r="K88" s="3"/>
      <c r="L88" s="3"/>
      <c r="M88" s="3"/>
      <c r="N88" s="3"/>
      <c r="O88" s="3"/>
      <c r="P88" s="3"/>
      <c r="Q88" s="3"/>
      <c r="R88" s="3"/>
    </row>
    <row r="89" ht="14.25" hidden="1" customHeight="1">
      <c r="A89" s="3" t="s">
        <v>181</v>
      </c>
      <c r="B89" s="3" t="s">
        <v>182</v>
      </c>
      <c r="C89" s="3">
        <v>-36909.58299</v>
      </c>
      <c r="D89" s="3">
        <v>-36909.785922</v>
      </c>
      <c r="E89" s="3">
        <v>0.405864</v>
      </c>
      <c r="F89" s="3">
        <f t="shared" si="1"/>
        <v>0.524076276</v>
      </c>
      <c r="G89" s="3">
        <v>88.0</v>
      </c>
      <c r="H89" s="3">
        <f t="shared" si="2"/>
        <v>0.02634730539</v>
      </c>
      <c r="I89" s="3"/>
      <c r="J89" s="3"/>
      <c r="K89" s="3"/>
      <c r="L89" s="3"/>
      <c r="M89" s="3"/>
      <c r="N89" s="3"/>
      <c r="O89" s="3"/>
      <c r="P89" s="3"/>
      <c r="Q89" s="3"/>
      <c r="R89" s="3"/>
    </row>
    <row r="90" ht="14.25" hidden="1" customHeight="1">
      <c r="A90" s="3" t="s">
        <v>183</v>
      </c>
      <c r="B90" s="3" t="s">
        <v>184</v>
      </c>
      <c r="C90" s="3">
        <v>-38705.182545</v>
      </c>
      <c r="D90" s="3">
        <v>-38705.361545</v>
      </c>
      <c r="E90" s="3">
        <v>0.358</v>
      </c>
      <c r="F90" s="3">
        <f t="shared" si="1"/>
        <v>0.5496190878</v>
      </c>
      <c r="G90" s="3">
        <v>89.0</v>
      </c>
      <c r="H90" s="3">
        <f t="shared" si="2"/>
        <v>0.02664670659</v>
      </c>
      <c r="I90" s="3"/>
      <c r="J90" s="3"/>
      <c r="K90" s="3"/>
      <c r="L90" s="3"/>
      <c r="M90" s="3"/>
      <c r="N90" s="3"/>
      <c r="O90" s="3"/>
      <c r="P90" s="3"/>
      <c r="Q90" s="3"/>
      <c r="R90" s="3"/>
    </row>
    <row r="91" ht="14.25" hidden="1" customHeight="1">
      <c r="A91" s="3" t="s">
        <v>185</v>
      </c>
      <c r="B91" s="3" t="s">
        <v>186</v>
      </c>
      <c r="C91" s="3">
        <v>-17727.989891</v>
      </c>
      <c r="D91" s="3">
        <v>-17728.164884</v>
      </c>
      <c r="E91" s="3">
        <v>0.349986</v>
      </c>
      <c r="F91" s="3">
        <f t="shared" si="1"/>
        <v>0.5541210552</v>
      </c>
      <c r="G91" s="3">
        <v>90.0</v>
      </c>
      <c r="H91" s="3">
        <f t="shared" si="2"/>
        <v>0.02694610778</v>
      </c>
      <c r="I91" s="3"/>
      <c r="J91" s="3"/>
      <c r="K91" s="3"/>
      <c r="L91" s="3"/>
      <c r="M91" s="3"/>
      <c r="N91" s="3"/>
      <c r="O91" s="3"/>
      <c r="P91" s="3"/>
      <c r="Q91" s="3"/>
      <c r="R91" s="3"/>
    </row>
    <row r="92" ht="14.25" hidden="1" customHeight="1">
      <c r="A92" s="3" t="s">
        <v>187</v>
      </c>
      <c r="B92" s="3" t="s">
        <v>188</v>
      </c>
      <c r="C92" s="3">
        <v>-33207.541984</v>
      </c>
      <c r="D92" s="3">
        <v>-33207.654958</v>
      </c>
      <c r="E92" s="3">
        <v>0.225948</v>
      </c>
      <c r="F92" s="3">
        <f t="shared" si="1"/>
        <v>0.6345447395</v>
      </c>
      <c r="G92" s="3">
        <v>91.0</v>
      </c>
      <c r="H92" s="3">
        <f t="shared" si="2"/>
        <v>0.02724550898</v>
      </c>
      <c r="I92" s="3"/>
      <c r="J92" s="3"/>
      <c r="K92" s="3"/>
      <c r="L92" s="3"/>
      <c r="M92" s="3"/>
      <c r="N92" s="3"/>
      <c r="O92" s="3"/>
      <c r="P92" s="3"/>
      <c r="Q92" s="3"/>
      <c r="R92" s="3"/>
    </row>
    <row r="93" ht="14.25" hidden="1" customHeight="1">
      <c r="A93" s="3" t="s">
        <v>189</v>
      </c>
      <c r="B93" s="3" t="s">
        <v>190</v>
      </c>
      <c r="C93" s="3">
        <v>-20392.959152</v>
      </c>
      <c r="D93" s="3">
        <v>-20393.06914</v>
      </c>
      <c r="E93" s="3">
        <v>0.219976</v>
      </c>
      <c r="F93" s="3">
        <f t="shared" si="1"/>
        <v>0.6390582058</v>
      </c>
      <c r="G93" s="3">
        <v>92.0</v>
      </c>
      <c r="H93" s="3">
        <f t="shared" si="2"/>
        <v>0.02754491018</v>
      </c>
      <c r="I93" s="3"/>
      <c r="J93" s="3"/>
      <c r="K93" s="3"/>
      <c r="L93" s="3"/>
      <c r="M93" s="3"/>
      <c r="N93" s="3"/>
      <c r="O93" s="3"/>
      <c r="P93" s="3"/>
      <c r="Q93" s="3"/>
      <c r="R93" s="3"/>
    </row>
    <row r="94" ht="14.25" hidden="1" customHeight="1">
      <c r="A94" s="3" t="s">
        <v>191</v>
      </c>
      <c r="B94" s="3" t="s">
        <v>192</v>
      </c>
      <c r="C94" s="3">
        <v>-12529.541414</v>
      </c>
      <c r="D94" s="3">
        <v>-12529.635154</v>
      </c>
      <c r="E94" s="3">
        <v>0.18748</v>
      </c>
      <c r="F94" s="3">
        <f t="shared" si="1"/>
        <v>0.66502232</v>
      </c>
      <c r="G94" s="3">
        <v>93.0</v>
      </c>
      <c r="H94" s="3">
        <f t="shared" si="2"/>
        <v>0.02784431138</v>
      </c>
      <c r="I94" s="3"/>
      <c r="J94" s="3"/>
      <c r="K94" s="3"/>
      <c r="L94" s="3"/>
      <c r="M94" s="3"/>
      <c r="N94" s="3"/>
      <c r="O94" s="3"/>
      <c r="P94" s="3"/>
      <c r="Q94" s="3"/>
      <c r="R94" s="3"/>
    </row>
    <row r="95" ht="14.25" hidden="1" customHeight="1">
      <c r="A95" s="3" t="s">
        <v>193</v>
      </c>
      <c r="B95" s="3" t="s">
        <v>109</v>
      </c>
      <c r="C95" s="3">
        <v>-56028.550032</v>
      </c>
      <c r="D95" s="3">
        <v>-56028.629587</v>
      </c>
      <c r="E95" s="3">
        <v>0.15911</v>
      </c>
      <c r="F95" s="3">
        <f t="shared" si="1"/>
        <v>0.6899772432</v>
      </c>
      <c r="G95" s="3">
        <v>94.0</v>
      </c>
      <c r="H95" s="3">
        <f t="shared" si="2"/>
        <v>0.02814371257</v>
      </c>
      <c r="I95" s="3"/>
      <c r="J95" s="3"/>
      <c r="K95" s="3"/>
      <c r="L95" s="3"/>
      <c r="M95" s="3"/>
      <c r="N95" s="3"/>
      <c r="O95" s="3"/>
      <c r="P95" s="3"/>
      <c r="Q95" s="3"/>
      <c r="R95" s="3"/>
    </row>
    <row r="96" ht="14.25" hidden="1" customHeight="1">
      <c r="A96" s="3" t="s">
        <v>194</v>
      </c>
      <c r="B96" s="3" t="s">
        <v>195</v>
      </c>
      <c r="C96" s="3">
        <v>-30668.178743</v>
      </c>
      <c r="D96" s="3">
        <v>-30668.227129</v>
      </c>
      <c r="E96" s="3">
        <v>0.096772</v>
      </c>
      <c r="F96" s="3">
        <f t="shared" si="1"/>
        <v>0.7557382978</v>
      </c>
      <c r="G96" s="3">
        <v>95.0</v>
      </c>
      <c r="H96" s="3">
        <f t="shared" si="2"/>
        <v>0.02844311377</v>
      </c>
      <c r="I96" s="3"/>
      <c r="J96" s="3"/>
      <c r="K96" s="3"/>
      <c r="L96" s="3"/>
      <c r="M96" s="3"/>
      <c r="N96" s="3"/>
      <c r="O96" s="3"/>
      <c r="P96" s="3"/>
      <c r="Q96" s="3"/>
      <c r="R96" s="3"/>
    </row>
    <row r="97" ht="14.25" hidden="1" customHeight="1">
      <c r="A97" s="3" t="s">
        <v>196</v>
      </c>
      <c r="B97" s="3" t="s">
        <v>197</v>
      </c>
      <c r="C97" s="3">
        <v>-37117.11469</v>
      </c>
      <c r="D97" s="3">
        <v>-37117.162534</v>
      </c>
      <c r="E97" s="3">
        <v>0.095688</v>
      </c>
      <c r="F97" s="3">
        <f t="shared" si="1"/>
        <v>0.7570668844</v>
      </c>
      <c r="G97" s="3">
        <v>96.0</v>
      </c>
      <c r="H97" s="3">
        <f t="shared" si="2"/>
        <v>0.02874251497</v>
      </c>
      <c r="I97" s="3"/>
      <c r="J97" s="3"/>
      <c r="K97" s="3"/>
      <c r="L97" s="3"/>
      <c r="M97" s="3"/>
      <c r="N97" s="3"/>
      <c r="O97" s="3"/>
      <c r="P97" s="3"/>
      <c r="Q97" s="3"/>
      <c r="R97" s="3"/>
    </row>
    <row r="98" ht="14.25" hidden="1" customHeight="1">
      <c r="A98" s="3" t="s">
        <v>198</v>
      </c>
      <c r="B98" s="3" t="s">
        <v>199</v>
      </c>
      <c r="C98" s="3">
        <v>-31834.653434</v>
      </c>
      <c r="D98" s="3">
        <v>-31834.698673</v>
      </c>
      <c r="E98" s="3">
        <v>0.090478</v>
      </c>
      <c r="F98" s="3">
        <f t="shared" si="1"/>
        <v>0.7635703549</v>
      </c>
      <c r="G98" s="3">
        <v>97.0</v>
      </c>
      <c r="H98" s="3">
        <f t="shared" si="2"/>
        <v>0.02904191617</v>
      </c>
      <c r="I98" s="3"/>
      <c r="J98" s="3"/>
      <c r="K98" s="3"/>
      <c r="L98" s="3"/>
      <c r="M98" s="3"/>
      <c r="N98" s="3"/>
      <c r="O98" s="3"/>
      <c r="P98" s="3"/>
      <c r="Q98" s="3"/>
      <c r="R98" s="3"/>
    </row>
    <row r="99" ht="14.25" hidden="1" customHeight="1">
      <c r="A99" s="3" t="s">
        <v>200</v>
      </c>
      <c r="B99" s="3" t="s">
        <v>201</v>
      </c>
      <c r="C99" s="3">
        <v>-22266.405937</v>
      </c>
      <c r="D99" s="3">
        <v>-22266.440984</v>
      </c>
      <c r="E99" s="3">
        <v>0.070094</v>
      </c>
      <c r="F99" s="3">
        <f t="shared" si="1"/>
        <v>0.7911999654</v>
      </c>
      <c r="G99" s="3">
        <v>98.0</v>
      </c>
      <c r="H99" s="3">
        <f t="shared" si="2"/>
        <v>0.02934131737</v>
      </c>
      <c r="I99" s="3"/>
      <c r="J99" s="3"/>
      <c r="K99" s="3"/>
      <c r="L99" s="3"/>
      <c r="M99" s="3"/>
      <c r="N99" s="3"/>
      <c r="O99" s="3"/>
      <c r="P99" s="3"/>
      <c r="Q99" s="3"/>
      <c r="R99" s="3"/>
    </row>
    <row r="100" ht="14.25" hidden="1" customHeight="1">
      <c r="A100" s="3" t="s">
        <v>202</v>
      </c>
      <c r="B100" s="3" t="s">
        <v>203</v>
      </c>
      <c r="C100" s="3">
        <v>-26080.497089</v>
      </c>
      <c r="D100" s="3">
        <v>-26080.53131</v>
      </c>
      <c r="E100" s="3">
        <v>0.068442</v>
      </c>
      <c r="F100" s="3">
        <f t="shared" si="1"/>
        <v>0.7936188799</v>
      </c>
      <c r="G100" s="3">
        <v>99.0</v>
      </c>
      <c r="H100" s="3">
        <f t="shared" si="2"/>
        <v>0.02964071856</v>
      </c>
      <c r="I100" s="3"/>
      <c r="J100" s="3"/>
      <c r="K100" s="3"/>
      <c r="L100" s="3"/>
      <c r="M100" s="3"/>
      <c r="N100" s="3"/>
      <c r="O100" s="3"/>
      <c r="P100" s="3"/>
      <c r="Q100" s="3"/>
      <c r="R100" s="3"/>
    </row>
    <row r="101" ht="14.25" hidden="1" customHeight="1">
      <c r="A101" s="3" t="s">
        <v>204</v>
      </c>
      <c r="B101" s="3" t="s">
        <v>205</v>
      </c>
      <c r="C101" s="3">
        <v>-14115.389588</v>
      </c>
      <c r="D101" s="3">
        <v>-14115.390493</v>
      </c>
      <c r="E101" s="3">
        <v>0.00181</v>
      </c>
      <c r="F101" s="3">
        <f t="shared" si="1"/>
        <v>0.966064961</v>
      </c>
      <c r="G101" s="3">
        <v>100.0</v>
      </c>
      <c r="H101" s="3">
        <f t="shared" si="2"/>
        <v>0.02994011976</v>
      </c>
      <c r="I101" s="3"/>
      <c r="J101" s="3"/>
      <c r="K101" s="3"/>
      <c r="L101" s="3"/>
      <c r="M101" s="3"/>
      <c r="N101" s="3"/>
      <c r="O101" s="3"/>
      <c r="P101" s="3"/>
      <c r="Q101" s="3"/>
      <c r="R101" s="3"/>
    </row>
    <row r="102" ht="14.25" hidden="1" customHeight="1">
      <c r="A102" s="3" t="s">
        <v>206</v>
      </c>
      <c r="B102" s="3" t="s">
        <v>207</v>
      </c>
      <c r="C102" s="3">
        <v>-27920.241716</v>
      </c>
      <c r="D102" s="3">
        <v>-27920.242291</v>
      </c>
      <c r="E102" s="3">
        <v>0.00115</v>
      </c>
      <c r="F102" s="3">
        <f t="shared" si="1"/>
        <v>0.9729476032</v>
      </c>
      <c r="G102" s="3">
        <v>101.0</v>
      </c>
      <c r="H102" s="3">
        <f t="shared" si="2"/>
        <v>0.03023952096</v>
      </c>
      <c r="I102" s="3"/>
      <c r="J102" s="3"/>
      <c r="K102" s="3"/>
      <c r="L102" s="3"/>
      <c r="M102" s="3"/>
      <c r="N102" s="3"/>
      <c r="O102" s="3"/>
      <c r="P102" s="3"/>
      <c r="Q102" s="3"/>
      <c r="R102" s="3"/>
    </row>
    <row r="103" ht="14.25" hidden="1" customHeight="1">
      <c r="A103" s="3" t="s">
        <v>208</v>
      </c>
      <c r="B103" s="3" t="s">
        <v>209</v>
      </c>
      <c r="C103" s="3">
        <v>-72768.879572</v>
      </c>
      <c r="D103" s="3">
        <v>-72768.879574</v>
      </c>
      <c r="E103" s="6">
        <v>4.0E-6</v>
      </c>
      <c r="F103" s="3">
        <f t="shared" si="1"/>
        <v>0.9984042319</v>
      </c>
      <c r="G103" s="3">
        <v>102.0</v>
      </c>
      <c r="H103" s="3">
        <f t="shared" si="2"/>
        <v>0.03053892216</v>
      </c>
      <c r="I103" s="3"/>
      <c r="J103" s="3"/>
      <c r="K103" s="3"/>
      <c r="L103" s="3"/>
      <c r="M103" s="3"/>
      <c r="N103" s="3"/>
      <c r="O103" s="3"/>
      <c r="P103" s="3"/>
      <c r="Q103" s="3"/>
      <c r="R103" s="3"/>
    </row>
    <row r="104" ht="14.25" hidden="1" customHeight="1">
      <c r="A104" s="3" t="s">
        <v>210</v>
      </c>
      <c r="B104" s="3" t="s">
        <v>211</v>
      </c>
      <c r="C104" s="3">
        <v>-17000.374128</v>
      </c>
      <c r="D104" s="3">
        <v>-17000.374129</v>
      </c>
      <c r="E104" s="6">
        <v>2.0E-6</v>
      </c>
      <c r="F104" s="3">
        <f t="shared" si="1"/>
        <v>0.9988716212</v>
      </c>
      <c r="G104" s="3">
        <v>103.0</v>
      </c>
      <c r="H104" s="3">
        <f t="shared" si="2"/>
        <v>0.03083832335</v>
      </c>
      <c r="I104" s="3"/>
      <c r="J104" s="3"/>
      <c r="K104" s="3"/>
      <c r="L104" s="3"/>
      <c r="M104" s="3"/>
      <c r="N104" s="3"/>
      <c r="O104" s="3"/>
      <c r="P104" s="3"/>
      <c r="Q104" s="3"/>
      <c r="R104" s="3"/>
    </row>
    <row r="105" ht="14.25" hidden="1" customHeight="1">
      <c r="A105" s="3" t="s">
        <v>212</v>
      </c>
      <c r="B105" s="3" t="s">
        <v>91</v>
      </c>
      <c r="C105" s="3">
        <v>-17999.345563</v>
      </c>
      <c r="D105" s="3">
        <v>-17999.345563</v>
      </c>
      <c r="E105" s="3">
        <v>0.0</v>
      </c>
      <c r="F105" s="3">
        <f t="shared" si="1"/>
        <v>1</v>
      </c>
      <c r="G105" s="3">
        <v>104.0</v>
      </c>
      <c r="H105" s="3">
        <f t="shared" si="2"/>
        <v>0.03113772455</v>
      </c>
      <c r="I105" s="3"/>
      <c r="J105" s="3"/>
      <c r="K105" s="3"/>
      <c r="L105" s="3"/>
      <c r="M105" s="3"/>
      <c r="N105" s="3"/>
      <c r="O105" s="3"/>
      <c r="P105" s="3"/>
      <c r="Q105" s="3"/>
      <c r="R105" s="3"/>
    </row>
    <row r="106" ht="14.25" hidden="1" customHeight="1">
      <c r="A106" s="3" t="s">
        <v>213</v>
      </c>
      <c r="B106" s="3" t="s">
        <v>214</v>
      </c>
      <c r="C106" s="3">
        <v>-33211.526822</v>
      </c>
      <c r="D106" s="3">
        <v>-33211.526822</v>
      </c>
      <c r="E106" s="3">
        <v>0.0</v>
      </c>
      <c r="F106" s="3">
        <f t="shared" si="1"/>
        <v>1</v>
      </c>
      <c r="G106" s="3">
        <v>105.0</v>
      </c>
      <c r="H106" s="3">
        <f t="shared" si="2"/>
        <v>0.03143712575</v>
      </c>
      <c r="I106" s="3"/>
      <c r="J106" s="3"/>
      <c r="K106" s="3"/>
      <c r="L106" s="3"/>
      <c r="M106" s="3"/>
      <c r="N106" s="3"/>
      <c r="O106" s="3"/>
      <c r="P106" s="3"/>
      <c r="Q106" s="3"/>
      <c r="R106" s="3"/>
    </row>
    <row r="107" ht="14.25" hidden="1" customHeight="1">
      <c r="A107" s="3" t="s">
        <v>215</v>
      </c>
      <c r="B107" s="3" t="s">
        <v>216</v>
      </c>
      <c r="C107" s="3">
        <v>-18328.117134</v>
      </c>
      <c r="D107" s="3">
        <v>-18328.117134</v>
      </c>
      <c r="E107" s="3">
        <v>0.0</v>
      </c>
      <c r="F107" s="3">
        <f t="shared" si="1"/>
        <v>1</v>
      </c>
      <c r="G107" s="3">
        <v>106.0</v>
      </c>
      <c r="H107" s="3">
        <f t="shared" si="2"/>
        <v>0.03173652695</v>
      </c>
      <c r="I107" s="3"/>
      <c r="J107" s="3"/>
      <c r="K107" s="3"/>
      <c r="L107" s="3"/>
      <c r="M107" s="3"/>
      <c r="N107" s="3"/>
      <c r="O107" s="3"/>
      <c r="P107" s="3"/>
      <c r="Q107" s="3"/>
      <c r="R107" s="3"/>
    </row>
    <row r="108" ht="14.25" hidden="1" customHeight="1">
      <c r="A108" s="3" t="s">
        <v>217</v>
      </c>
      <c r="B108" s="3" t="s">
        <v>218</v>
      </c>
      <c r="C108" s="3">
        <v>-9421.245622</v>
      </c>
      <c r="D108" s="3">
        <v>-9421.245622</v>
      </c>
      <c r="E108" s="3">
        <v>0.0</v>
      </c>
      <c r="F108" s="3">
        <f t="shared" si="1"/>
        <v>1</v>
      </c>
      <c r="G108" s="3">
        <v>107.0</v>
      </c>
      <c r="H108" s="3">
        <f t="shared" si="2"/>
        <v>0.03203592814</v>
      </c>
      <c r="I108" s="3"/>
      <c r="J108" s="3"/>
      <c r="K108" s="3"/>
      <c r="L108" s="3"/>
      <c r="M108" s="3"/>
      <c r="N108" s="3"/>
      <c r="O108" s="3"/>
      <c r="P108" s="3"/>
      <c r="Q108" s="3"/>
      <c r="R108" s="3"/>
    </row>
    <row r="109" ht="14.25" hidden="1" customHeight="1">
      <c r="A109" s="3" t="s">
        <v>219</v>
      </c>
      <c r="B109" s="3" t="s">
        <v>220</v>
      </c>
      <c r="C109" s="3">
        <v>-30871.777838</v>
      </c>
      <c r="D109" s="3">
        <v>-30871.777838</v>
      </c>
      <c r="E109" s="3">
        <v>0.0</v>
      </c>
      <c r="F109" s="3">
        <f t="shared" si="1"/>
        <v>1</v>
      </c>
      <c r="G109" s="3">
        <v>108.0</v>
      </c>
      <c r="H109" s="3">
        <f t="shared" si="2"/>
        <v>0.03233532934</v>
      </c>
      <c r="I109" s="3"/>
      <c r="J109" s="3"/>
      <c r="K109" s="3"/>
      <c r="L109" s="3"/>
      <c r="M109" s="3"/>
      <c r="N109" s="3"/>
      <c r="O109" s="3"/>
      <c r="P109" s="3"/>
      <c r="Q109" s="3"/>
      <c r="R109" s="3"/>
    </row>
    <row r="110" ht="14.25" hidden="1" customHeight="1">
      <c r="A110" s="3" t="s">
        <v>221</v>
      </c>
      <c r="B110" s="3" t="s">
        <v>222</v>
      </c>
      <c r="C110" s="3">
        <v>-44087.186167</v>
      </c>
      <c r="D110" s="3">
        <v>-44087.186167</v>
      </c>
      <c r="E110" s="3">
        <v>0.0</v>
      </c>
      <c r="F110" s="3">
        <f t="shared" si="1"/>
        <v>1</v>
      </c>
      <c r="G110" s="3">
        <v>109.0</v>
      </c>
      <c r="H110" s="3">
        <f t="shared" si="2"/>
        <v>0.03263473054</v>
      </c>
      <c r="I110" s="3"/>
      <c r="J110" s="3"/>
      <c r="K110" s="3"/>
      <c r="L110" s="3"/>
      <c r="M110" s="3"/>
      <c r="N110" s="3"/>
      <c r="O110" s="3"/>
      <c r="P110" s="3"/>
      <c r="Q110" s="3"/>
      <c r="R110" s="3"/>
    </row>
    <row r="111" ht="14.25" hidden="1" customHeight="1">
      <c r="A111" s="3" t="s">
        <v>223</v>
      </c>
      <c r="B111" s="3" t="s">
        <v>224</v>
      </c>
      <c r="C111" s="3">
        <v>-23197.343442</v>
      </c>
      <c r="D111" s="3">
        <v>-23197.343442</v>
      </c>
      <c r="E111" s="3">
        <v>0.0</v>
      </c>
      <c r="F111" s="3">
        <f t="shared" si="1"/>
        <v>1</v>
      </c>
      <c r="G111" s="3">
        <v>110.0</v>
      </c>
      <c r="H111" s="3">
        <f t="shared" si="2"/>
        <v>0.03293413174</v>
      </c>
      <c r="I111" s="3"/>
      <c r="J111" s="3"/>
      <c r="K111" s="3"/>
      <c r="L111" s="3"/>
      <c r="M111" s="3"/>
      <c r="N111" s="3"/>
      <c r="O111" s="3"/>
      <c r="P111" s="3"/>
      <c r="Q111" s="3"/>
      <c r="R111" s="3"/>
    </row>
    <row r="112" ht="14.25" hidden="1" customHeight="1">
      <c r="A112" s="3" t="s">
        <v>225</v>
      </c>
      <c r="B112" s="3" t="s">
        <v>226</v>
      </c>
      <c r="C112" s="3">
        <v>-29075.672876</v>
      </c>
      <c r="D112" s="3">
        <v>-29075.672876</v>
      </c>
      <c r="E112" s="3">
        <v>0.0</v>
      </c>
      <c r="F112" s="3">
        <f t="shared" si="1"/>
        <v>1</v>
      </c>
      <c r="G112" s="3">
        <v>111.0</v>
      </c>
      <c r="H112" s="3">
        <f t="shared" si="2"/>
        <v>0.03323353293</v>
      </c>
      <c r="I112" s="3"/>
      <c r="J112" s="3"/>
      <c r="K112" s="3"/>
      <c r="L112" s="3"/>
      <c r="M112" s="3"/>
      <c r="N112" s="3"/>
      <c r="O112" s="3"/>
      <c r="P112" s="3"/>
      <c r="Q112" s="3"/>
      <c r="R112" s="3"/>
    </row>
    <row r="113" ht="14.25" hidden="1" customHeight="1">
      <c r="A113" s="3" t="s">
        <v>227</v>
      </c>
      <c r="B113" s="3" t="s">
        <v>228</v>
      </c>
      <c r="C113" s="3">
        <v>-59375.923298</v>
      </c>
      <c r="D113" s="3">
        <v>-59375.923298</v>
      </c>
      <c r="E113" s="3">
        <v>0.0</v>
      </c>
      <c r="F113" s="3">
        <f t="shared" si="1"/>
        <v>1</v>
      </c>
      <c r="G113" s="3">
        <v>112.0</v>
      </c>
      <c r="H113" s="3">
        <f t="shared" si="2"/>
        <v>0.03353293413</v>
      </c>
      <c r="I113" s="3"/>
      <c r="J113" s="3"/>
      <c r="K113" s="3"/>
      <c r="L113" s="3"/>
      <c r="M113" s="3"/>
      <c r="N113" s="3"/>
      <c r="O113" s="3"/>
      <c r="P113" s="3"/>
      <c r="Q113" s="3"/>
      <c r="R113" s="3"/>
    </row>
    <row r="114" ht="14.25" hidden="1" customHeight="1">
      <c r="A114" s="3" t="s">
        <v>229</v>
      </c>
      <c r="B114" s="3" t="s">
        <v>230</v>
      </c>
      <c r="C114" s="3">
        <v>-22560.002343</v>
      </c>
      <c r="D114" s="3">
        <v>-22560.002343</v>
      </c>
      <c r="E114" s="3">
        <v>0.0</v>
      </c>
      <c r="F114" s="3">
        <f t="shared" si="1"/>
        <v>1</v>
      </c>
      <c r="G114" s="3">
        <v>113.0</v>
      </c>
      <c r="H114" s="3">
        <f t="shared" si="2"/>
        <v>0.03383233533</v>
      </c>
      <c r="I114" s="3"/>
      <c r="J114" s="3"/>
      <c r="K114" s="3"/>
      <c r="L114" s="3"/>
      <c r="M114" s="3"/>
      <c r="N114" s="3"/>
      <c r="O114" s="3"/>
      <c r="P114" s="3"/>
      <c r="Q114" s="3"/>
      <c r="R114" s="3"/>
    </row>
    <row r="115" ht="14.25" hidden="1" customHeight="1">
      <c r="A115" s="3" t="s">
        <v>231</v>
      </c>
      <c r="B115" s="3" t="s">
        <v>232</v>
      </c>
      <c r="C115" s="3">
        <v>-13424.344221</v>
      </c>
      <c r="D115" s="3">
        <v>-13424.344221</v>
      </c>
      <c r="E115" s="3">
        <v>0.0</v>
      </c>
      <c r="F115" s="3">
        <f t="shared" si="1"/>
        <v>1</v>
      </c>
      <c r="G115" s="3">
        <v>114.0</v>
      </c>
      <c r="H115" s="3">
        <f t="shared" si="2"/>
        <v>0.03413173653</v>
      </c>
      <c r="I115" s="3"/>
      <c r="J115" s="3"/>
      <c r="K115" s="3"/>
      <c r="L115" s="3"/>
      <c r="M115" s="3"/>
      <c r="N115" s="3"/>
      <c r="O115" s="3"/>
      <c r="P115" s="3"/>
      <c r="Q115" s="3"/>
      <c r="R115" s="3"/>
    </row>
    <row r="116" ht="14.25" hidden="1" customHeight="1">
      <c r="A116" s="3" t="s">
        <v>233</v>
      </c>
      <c r="B116" s="3" t="s">
        <v>218</v>
      </c>
      <c r="C116" s="3">
        <v>-12634.948355</v>
      </c>
      <c r="D116" s="3">
        <v>-12634.948355</v>
      </c>
      <c r="E116" s="3">
        <v>0.0</v>
      </c>
      <c r="F116" s="3">
        <f t="shared" si="1"/>
        <v>1</v>
      </c>
      <c r="G116" s="3">
        <v>115.0</v>
      </c>
      <c r="H116" s="3">
        <f t="shared" si="2"/>
        <v>0.03443113772</v>
      </c>
      <c r="I116" s="3"/>
      <c r="J116" s="3"/>
      <c r="K116" s="3"/>
      <c r="L116" s="3"/>
      <c r="M116" s="3"/>
      <c r="N116" s="3"/>
      <c r="O116" s="3"/>
      <c r="P116" s="3"/>
      <c r="Q116" s="3"/>
      <c r="R116" s="3"/>
    </row>
    <row r="117" ht="14.25" hidden="1" customHeight="1">
      <c r="A117" s="3" t="s">
        <v>234</v>
      </c>
      <c r="B117" s="3" t="s">
        <v>235</v>
      </c>
      <c r="C117" s="3">
        <v>-24178.046094</v>
      </c>
      <c r="D117" s="3">
        <v>-24178.046094</v>
      </c>
      <c r="E117" s="3">
        <v>0.0</v>
      </c>
      <c r="F117" s="3">
        <f t="shared" si="1"/>
        <v>1</v>
      </c>
      <c r="G117" s="3">
        <v>116.0</v>
      </c>
      <c r="H117" s="3">
        <f t="shared" si="2"/>
        <v>0.03473053892</v>
      </c>
      <c r="I117" s="3"/>
      <c r="J117" s="3"/>
      <c r="K117" s="3"/>
      <c r="L117" s="3"/>
      <c r="M117" s="3"/>
      <c r="N117" s="3"/>
      <c r="O117" s="3"/>
      <c r="P117" s="3"/>
      <c r="Q117" s="3"/>
      <c r="R117" s="3"/>
    </row>
    <row r="118" ht="14.25" hidden="1" customHeight="1">
      <c r="A118" s="3" t="s">
        <v>236</v>
      </c>
      <c r="B118" s="3" t="s">
        <v>237</v>
      </c>
      <c r="C118" s="3">
        <v>-14963.784021</v>
      </c>
      <c r="D118" s="3">
        <v>-14963.784021</v>
      </c>
      <c r="E118" s="3">
        <v>0.0</v>
      </c>
      <c r="F118" s="3">
        <f t="shared" si="1"/>
        <v>1</v>
      </c>
      <c r="G118" s="3">
        <v>117.0</v>
      </c>
      <c r="H118" s="3">
        <f t="shared" si="2"/>
        <v>0.03502994012</v>
      </c>
      <c r="I118" s="3"/>
      <c r="J118" s="3"/>
      <c r="K118" s="3"/>
      <c r="L118" s="3"/>
      <c r="M118" s="3"/>
      <c r="N118" s="3"/>
      <c r="O118" s="3"/>
      <c r="P118" s="3"/>
      <c r="Q118" s="3"/>
      <c r="R118" s="3"/>
    </row>
    <row r="119" ht="14.25" hidden="1" customHeight="1">
      <c r="A119" s="3" t="s">
        <v>238</v>
      </c>
      <c r="B119" s="3" t="s">
        <v>239</v>
      </c>
      <c r="C119" s="3">
        <v>-30149.632328</v>
      </c>
      <c r="D119" s="3">
        <v>-30149.632328</v>
      </c>
      <c r="E119" s="3">
        <v>0.0</v>
      </c>
      <c r="F119" s="3">
        <f t="shared" si="1"/>
        <v>1</v>
      </c>
      <c r="G119" s="3">
        <v>118.0</v>
      </c>
      <c r="H119" s="3">
        <f t="shared" si="2"/>
        <v>0.03532934132</v>
      </c>
      <c r="I119" s="3"/>
      <c r="J119" s="3"/>
      <c r="K119" s="3"/>
      <c r="L119" s="3"/>
      <c r="M119" s="3"/>
      <c r="N119" s="3"/>
      <c r="O119" s="3"/>
      <c r="P119" s="3"/>
      <c r="Q119" s="3"/>
      <c r="R119" s="3"/>
    </row>
    <row r="120" ht="14.25" hidden="1" customHeight="1">
      <c r="A120" s="3" t="s">
        <v>240</v>
      </c>
      <c r="B120" s="3" t="s">
        <v>241</v>
      </c>
      <c r="C120" s="3">
        <v>-39084.324834</v>
      </c>
      <c r="D120" s="3">
        <v>-39084.324834</v>
      </c>
      <c r="E120" s="3">
        <v>0.0</v>
      </c>
      <c r="F120" s="3">
        <f t="shared" si="1"/>
        <v>1</v>
      </c>
      <c r="G120" s="3">
        <v>119.0</v>
      </c>
      <c r="H120" s="3">
        <f t="shared" si="2"/>
        <v>0.03562874251</v>
      </c>
      <c r="I120" s="3"/>
      <c r="J120" s="3"/>
      <c r="K120" s="3"/>
      <c r="L120" s="3"/>
      <c r="M120" s="3"/>
      <c r="N120" s="3"/>
      <c r="O120" s="3"/>
      <c r="P120" s="3"/>
      <c r="Q120" s="3"/>
      <c r="R120" s="3"/>
    </row>
    <row r="121" ht="14.25" hidden="1" customHeight="1">
      <c r="A121" s="3" t="s">
        <v>242</v>
      </c>
      <c r="B121" s="3" t="s">
        <v>243</v>
      </c>
      <c r="C121" s="3">
        <v>-16888.865051</v>
      </c>
      <c r="D121" s="3">
        <v>-16888.865051</v>
      </c>
      <c r="E121" s="3">
        <v>0.0</v>
      </c>
      <c r="F121" s="3">
        <f t="shared" si="1"/>
        <v>1</v>
      </c>
      <c r="G121" s="3">
        <v>120.0</v>
      </c>
      <c r="H121" s="3">
        <f t="shared" si="2"/>
        <v>0.03592814371</v>
      </c>
      <c r="I121" s="3"/>
      <c r="J121" s="3"/>
      <c r="K121" s="3"/>
      <c r="L121" s="3"/>
      <c r="M121" s="3"/>
      <c r="N121" s="3"/>
      <c r="O121" s="3"/>
      <c r="P121" s="3"/>
      <c r="Q121" s="3"/>
      <c r="R121" s="3"/>
    </row>
    <row r="122" ht="14.25" hidden="1" customHeight="1">
      <c r="A122" s="3" t="s">
        <v>244</v>
      </c>
      <c r="B122" s="3" t="s">
        <v>245</v>
      </c>
      <c r="C122" s="3">
        <v>-17427.584802</v>
      </c>
      <c r="D122" s="3">
        <v>-17427.584802</v>
      </c>
      <c r="E122" s="3">
        <v>0.0</v>
      </c>
      <c r="F122" s="3">
        <f t="shared" si="1"/>
        <v>1</v>
      </c>
      <c r="G122" s="3">
        <v>121.0</v>
      </c>
      <c r="H122" s="3">
        <f t="shared" si="2"/>
        <v>0.03622754491</v>
      </c>
      <c r="I122" s="3"/>
      <c r="J122" s="3"/>
      <c r="K122" s="3"/>
      <c r="L122" s="3"/>
      <c r="M122" s="3"/>
      <c r="N122" s="3"/>
      <c r="O122" s="3"/>
      <c r="P122" s="3"/>
      <c r="Q122" s="3"/>
      <c r="R122" s="3"/>
    </row>
    <row r="123" ht="14.25" hidden="1" customHeight="1">
      <c r="A123" s="3" t="s">
        <v>246</v>
      </c>
      <c r="B123" s="3" t="s">
        <v>247</v>
      </c>
      <c r="C123" s="3">
        <v>-19785.492814</v>
      </c>
      <c r="D123" s="3">
        <v>-19785.492814</v>
      </c>
      <c r="E123" s="3">
        <v>0.0</v>
      </c>
      <c r="F123" s="3">
        <f t="shared" si="1"/>
        <v>1</v>
      </c>
      <c r="G123" s="3">
        <v>122.0</v>
      </c>
      <c r="H123" s="3">
        <f t="shared" si="2"/>
        <v>0.03652694611</v>
      </c>
      <c r="I123" s="3"/>
      <c r="J123" s="3"/>
      <c r="K123" s="3"/>
      <c r="L123" s="3"/>
      <c r="M123" s="3"/>
      <c r="N123" s="3"/>
      <c r="O123" s="3"/>
      <c r="P123" s="3"/>
      <c r="Q123" s="3"/>
      <c r="R123" s="3"/>
    </row>
    <row r="124" ht="14.25" hidden="1" customHeight="1">
      <c r="A124" s="3" t="s">
        <v>248</v>
      </c>
      <c r="B124" s="3" t="s">
        <v>249</v>
      </c>
      <c r="C124" s="3">
        <v>-12623.962419</v>
      </c>
      <c r="D124" s="3">
        <v>-12623.962419</v>
      </c>
      <c r="E124" s="3">
        <v>0.0</v>
      </c>
      <c r="F124" s="3">
        <f t="shared" si="1"/>
        <v>1</v>
      </c>
      <c r="G124" s="3">
        <v>123.0</v>
      </c>
      <c r="H124" s="3">
        <f t="shared" si="2"/>
        <v>0.03682634731</v>
      </c>
      <c r="I124" s="3"/>
      <c r="J124" s="3"/>
      <c r="K124" s="3"/>
      <c r="L124" s="3"/>
      <c r="M124" s="3"/>
      <c r="N124" s="3"/>
      <c r="O124" s="3"/>
      <c r="P124" s="3"/>
      <c r="Q124" s="3"/>
      <c r="R124" s="3"/>
    </row>
    <row r="125" ht="14.25" hidden="1" customHeight="1">
      <c r="A125" s="3" t="s">
        <v>250</v>
      </c>
      <c r="B125" s="3" t="s">
        <v>251</v>
      </c>
      <c r="C125" s="3">
        <v>-21400.800077</v>
      </c>
      <c r="D125" s="3">
        <v>-21400.800077</v>
      </c>
      <c r="E125" s="3">
        <v>0.0</v>
      </c>
      <c r="F125" s="3">
        <f t="shared" si="1"/>
        <v>1</v>
      </c>
      <c r="G125" s="3">
        <v>124.0</v>
      </c>
      <c r="H125" s="3">
        <f t="shared" si="2"/>
        <v>0.0371257485</v>
      </c>
      <c r="I125" s="3"/>
      <c r="J125" s="3"/>
      <c r="K125" s="3"/>
      <c r="L125" s="3"/>
      <c r="M125" s="3"/>
      <c r="N125" s="3"/>
      <c r="O125" s="3"/>
      <c r="P125" s="3"/>
      <c r="Q125" s="3"/>
      <c r="R125" s="3"/>
    </row>
    <row r="126" ht="14.25" hidden="1" customHeight="1">
      <c r="A126" s="3" t="s">
        <v>252</v>
      </c>
      <c r="B126" s="3" t="s">
        <v>253</v>
      </c>
      <c r="C126" s="3">
        <v>-17203.680556</v>
      </c>
      <c r="D126" s="3">
        <v>-17203.680556</v>
      </c>
      <c r="E126" s="3">
        <v>0.0</v>
      </c>
      <c r="F126" s="3">
        <f t="shared" si="1"/>
        <v>1</v>
      </c>
      <c r="G126" s="3">
        <v>125.0</v>
      </c>
      <c r="H126" s="3">
        <f t="shared" si="2"/>
        <v>0.0374251497</v>
      </c>
      <c r="I126" s="3"/>
      <c r="J126" s="3"/>
      <c r="K126" s="3"/>
      <c r="L126" s="3"/>
      <c r="M126" s="3"/>
      <c r="N126" s="3"/>
      <c r="O126" s="3"/>
      <c r="P126" s="3"/>
      <c r="Q126" s="3"/>
      <c r="R126" s="3"/>
    </row>
    <row r="127" ht="14.25" hidden="1" customHeight="1">
      <c r="A127" s="3" t="s">
        <v>254</v>
      </c>
      <c r="B127" s="3" t="s">
        <v>255</v>
      </c>
      <c r="C127" s="3">
        <v>-62495.839311</v>
      </c>
      <c r="D127" s="3">
        <v>-62495.839311</v>
      </c>
      <c r="E127" s="3">
        <v>0.0</v>
      </c>
      <c r="F127" s="3">
        <f t="shared" si="1"/>
        <v>1</v>
      </c>
      <c r="G127" s="3">
        <v>126.0</v>
      </c>
      <c r="H127" s="3">
        <f t="shared" si="2"/>
        <v>0.0377245509</v>
      </c>
      <c r="I127" s="3"/>
      <c r="J127" s="3"/>
      <c r="K127" s="3"/>
      <c r="L127" s="3"/>
      <c r="M127" s="3"/>
      <c r="N127" s="3"/>
      <c r="O127" s="3"/>
      <c r="P127" s="3"/>
      <c r="Q127" s="3"/>
      <c r="R127" s="3"/>
    </row>
    <row r="128" ht="14.25" hidden="1" customHeight="1">
      <c r="A128" s="3" t="s">
        <v>256</v>
      </c>
      <c r="B128" s="3" t="s">
        <v>257</v>
      </c>
      <c r="C128" s="3">
        <v>-53880.587241</v>
      </c>
      <c r="D128" s="3">
        <v>-53880.587241</v>
      </c>
      <c r="E128" s="3">
        <v>0.0</v>
      </c>
      <c r="F128" s="3">
        <f t="shared" si="1"/>
        <v>1</v>
      </c>
      <c r="G128" s="3">
        <v>127.0</v>
      </c>
      <c r="H128" s="3">
        <f t="shared" si="2"/>
        <v>0.0380239521</v>
      </c>
      <c r="I128" s="3"/>
      <c r="J128" s="3"/>
      <c r="K128" s="3"/>
      <c r="L128" s="3"/>
      <c r="M128" s="3"/>
      <c r="N128" s="3"/>
      <c r="O128" s="3"/>
      <c r="P128" s="3"/>
      <c r="Q128" s="3"/>
      <c r="R128" s="3"/>
    </row>
    <row r="129" ht="14.25" hidden="1" customHeight="1">
      <c r="A129" s="3" t="s">
        <v>258</v>
      </c>
      <c r="B129" s="3" t="s">
        <v>259</v>
      </c>
      <c r="C129" s="3">
        <v>-36658.18648</v>
      </c>
      <c r="D129" s="3">
        <v>-36658.18648</v>
      </c>
      <c r="E129" s="3">
        <v>0.0</v>
      </c>
      <c r="F129" s="3">
        <f t="shared" si="1"/>
        <v>1</v>
      </c>
      <c r="G129" s="3">
        <v>128.0</v>
      </c>
      <c r="H129" s="3">
        <f t="shared" si="2"/>
        <v>0.03832335329</v>
      </c>
      <c r="I129" s="3"/>
      <c r="J129" s="3"/>
      <c r="K129" s="3"/>
      <c r="L129" s="3"/>
      <c r="M129" s="3"/>
      <c r="N129" s="3"/>
      <c r="O129" s="3"/>
      <c r="P129" s="3"/>
      <c r="Q129" s="3"/>
      <c r="R129" s="3"/>
    </row>
    <row r="130" ht="14.25" hidden="1" customHeight="1">
      <c r="A130" s="3" t="s">
        <v>260</v>
      </c>
      <c r="B130" s="3" t="s">
        <v>261</v>
      </c>
      <c r="C130" s="3">
        <v>-13270.586583</v>
      </c>
      <c r="D130" s="3">
        <v>-13270.586583</v>
      </c>
      <c r="E130" s="3">
        <v>0.0</v>
      </c>
      <c r="F130" s="3">
        <f t="shared" si="1"/>
        <v>1</v>
      </c>
      <c r="G130" s="3">
        <v>129.0</v>
      </c>
      <c r="H130" s="3">
        <f t="shared" si="2"/>
        <v>0.03862275449</v>
      </c>
      <c r="I130" s="3"/>
      <c r="J130" s="3"/>
      <c r="K130" s="3"/>
      <c r="L130" s="3"/>
      <c r="M130" s="3"/>
      <c r="N130" s="3"/>
      <c r="O130" s="3"/>
      <c r="P130" s="3"/>
      <c r="Q130" s="3"/>
      <c r="R130" s="3"/>
    </row>
    <row r="131" ht="14.25" hidden="1" customHeight="1">
      <c r="A131" s="3" t="s">
        <v>262</v>
      </c>
      <c r="B131" s="3" t="s">
        <v>263</v>
      </c>
      <c r="C131" s="3">
        <v>-22195.800435</v>
      </c>
      <c r="D131" s="3">
        <v>-22195.800435</v>
      </c>
      <c r="E131" s="3">
        <v>0.0</v>
      </c>
      <c r="F131" s="3">
        <f t="shared" si="1"/>
        <v>1</v>
      </c>
      <c r="G131" s="3">
        <v>130.0</v>
      </c>
      <c r="H131" s="3">
        <f t="shared" si="2"/>
        <v>0.03892215569</v>
      </c>
      <c r="I131" s="3"/>
      <c r="J131" s="3"/>
      <c r="K131" s="3"/>
      <c r="L131" s="3"/>
      <c r="M131" s="3"/>
      <c r="N131" s="3"/>
      <c r="O131" s="3"/>
      <c r="P131" s="3"/>
      <c r="Q131" s="3"/>
      <c r="R131" s="3"/>
    </row>
    <row r="132" ht="14.25" hidden="1" customHeight="1">
      <c r="A132" s="3" t="s">
        <v>264</v>
      </c>
      <c r="B132" s="3" t="s">
        <v>265</v>
      </c>
      <c r="C132" s="3">
        <v>-19751.809941</v>
      </c>
      <c r="D132" s="3">
        <v>-19751.809941</v>
      </c>
      <c r="E132" s="3">
        <v>0.0</v>
      </c>
      <c r="F132" s="3">
        <f t="shared" si="1"/>
        <v>1</v>
      </c>
      <c r="G132" s="3">
        <v>131.0</v>
      </c>
      <c r="H132" s="3">
        <f t="shared" si="2"/>
        <v>0.03922155689</v>
      </c>
      <c r="I132" s="3"/>
      <c r="J132" s="3"/>
      <c r="K132" s="3"/>
      <c r="L132" s="3"/>
      <c r="M132" s="3"/>
      <c r="N132" s="3"/>
      <c r="O132" s="3"/>
      <c r="P132" s="3"/>
      <c r="Q132" s="3"/>
      <c r="R132" s="3"/>
    </row>
    <row r="133" ht="14.25" hidden="1" customHeight="1">
      <c r="A133" s="3" t="s">
        <v>266</v>
      </c>
      <c r="B133" s="3" t="s">
        <v>267</v>
      </c>
      <c r="C133" s="3">
        <v>-32905.546796</v>
      </c>
      <c r="D133" s="3">
        <v>-32905.546796</v>
      </c>
      <c r="E133" s="3">
        <v>0.0</v>
      </c>
      <c r="F133" s="3">
        <f t="shared" si="1"/>
        <v>1</v>
      </c>
      <c r="G133" s="3">
        <v>132.0</v>
      </c>
      <c r="H133" s="3">
        <f t="shared" si="2"/>
        <v>0.03952095808</v>
      </c>
      <c r="I133" s="3"/>
      <c r="J133" s="3"/>
      <c r="K133" s="3"/>
      <c r="L133" s="3"/>
      <c r="M133" s="3"/>
      <c r="N133" s="3"/>
      <c r="O133" s="3"/>
      <c r="P133" s="3"/>
      <c r="Q133" s="3"/>
      <c r="R133" s="3"/>
    </row>
    <row r="134" ht="14.25" hidden="1" customHeight="1">
      <c r="A134" s="3" t="s">
        <v>268</v>
      </c>
      <c r="B134" s="3" t="s">
        <v>269</v>
      </c>
      <c r="C134" s="3">
        <v>-59759.883922</v>
      </c>
      <c r="D134" s="3">
        <v>-59759.883922</v>
      </c>
      <c r="E134" s="3">
        <v>0.0</v>
      </c>
      <c r="F134" s="3">
        <f t="shared" si="1"/>
        <v>1</v>
      </c>
      <c r="G134" s="3">
        <v>133.0</v>
      </c>
      <c r="H134" s="3">
        <f t="shared" si="2"/>
        <v>0.03982035928</v>
      </c>
      <c r="I134" s="3"/>
      <c r="J134" s="3"/>
      <c r="K134" s="3"/>
      <c r="L134" s="3"/>
      <c r="M134" s="3"/>
      <c r="N134" s="3"/>
      <c r="O134" s="3"/>
      <c r="P134" s="3"/>
      <c r="Q134" s="3"/>
      <c r="R134" s="3"/>
    </row>
    <row r="135" ht="14.25" hidden="1" customHeight="1">
      <c r="A135" s="3" t="s">
        <v>270</v>
      </c>
      <c r="B135" s="3" t="s">
        <v>271</v>
      </c>
      <c r="C135" s="3">
        <v>-39513.946154</v>
      </c>
      <c r="D135" s="3">
        <v>-39513.946154</v>
      </c>
      <c r="E135" s="3">
        <v>0.0</v>
      </c>
      <c r="F135" s="3">
        <f t="shared" si="1"/>
        <v>1</v>
      </c>
      <c r="G135" s="3">
        <v>134.0</v>
      </c>
      <c r="H135" s="3">
        <f t="shared" si="2"/>
        <v>0.04011976048</v>
      </c>
      <c r="I135" s="3"/>
      <c r="J135" s="3"/>
      <c r="K135" s="3"/>
      <c r="L135" s="3"/>
      <c r="M135" s="3"/>
      <c r="N135" s="3"/>
      <c r="O135" s="3"/>
      <c r="P135" s="3"/>
      <c r="Q135" s="3"/>
      <c r="R135" s="3"/>
    </row>
    <row r="136" ht="14.25" hidden="1" customHeight="1">
      <c r="A136" s="3" t="s">
        <v>272</v>
      </c>
      <c r="B136" s="3" t="s">
        <v>273</v>
      </c>
      <c r="C136" s="3">
        <v>-33989.184607</v>
      </c>
      <c r="D136" s="3">
        <v>-33989.184607</v>
      </c>
      <c r="E136" s="3">
        <v>0.0</v>
      </c>
      <c r="F136" s="3">
        <f t="shared" si="1"/>
        <v>1</v>
      </c>
      <c r="G136" s="3">
        <v>135.0</v>
      </c>
      <c r="H136" s="3">
        <f t="shared" si="2"/>
        <v>0.04041916168</v>
      </c>
      <c r="I136" s="3"/>
      <c r="J136" s="3"/>
      <c r="K136" s="3"/>
      <c r="L136" s="3"/>
      <c r="M136" s="3"/>
      <c r="N136" s="3"/>
      <c r="O136" s="3"/>
      <c r="P136" s="3"/>
      <c r="Q136" s="3"/>
      <c r="R136" s="3"/>
    </row>
    <row r="137" ht="14.25" hidden="1" customHeight="1">
      <c r="A137" s="3" t="s">
        <v>274</v>
      </c>
      <c r="B137" s="3" t="s">
        <v>275</v>
      </c>
      <c r="C137" s="3">
        <v>-114159.846529</v>
      </c>
      <c r="D137" s="3">
        <v>-114159.846529</v>
      </c>
      <c r="E137" s="3">
        <v>0.0</v>
      </c>
      <c r="F137" s="3">
        <f t="shared" si="1"/>
        <v>1</v>
      </c>
      <c r="G137" s="3">
        <v>136.0</v>
      </c>
      <c r="H137" s="3">
        <f t="shared" si="2"/>
        <v>0.04071856287</v>
      </c>
      <c r="I137" s="3"/>
      <c r="J137" s="3"/>
      <c r="K137" s="3"/>
      <c r="L137" s="3"/>
      <c r="M137" s="3"/>
      <c r="N137" s="3"/>
      <c r="O137" s="3"/>
      <c r="P137" s="3"/>
      <c r="Q137" s="3"/>
      <c r="R137" s="3"/>
    </row>
    <row r="138" ht="14.25" hidden="1" customHeight="1">
      <c r="A138" s="3" t="s">
        <v>276</v>
      </c>
      <c r="B138" s="3" t="s">
        <v>277</v>
      </c>
      <c r="C138" s="3">
        <v>-28737.638291</v>
      </c>
      <c r="D138" s="3">
        <v>-28737.638291</v>
      </c>
      <c r="E138" s="3">
        <v>0.0</v>
      </c>
      <c r="F138" s="3">
        <f t="shared" si="1"/>
        <v>1</v>
      </c>
      <c r="G138" s="3">
        <v>137.0</v>
      </c>
      <c r="H138" s="3">
        <f t="shared" si="2"/>
        <v>0.04101796407</v>
      </c>
      <c r="I138" s="3"/>
      <c r="J138" s="3"/>
      <c r="K138" s="3"/>
      <c r="L138" s="3"/>
      <c r="M138" s="3"/>
      <c r="N138" s="3"/>
      <c r="O138" s="3"/>
      <c r="P138" s="3"/>
      <c r="Q138" s="3"/>
      <c r="R138" s="3"/>
    </row>
    <row r="139" ht="14.25" hidden="1" customHeight="1">
      <c r="A139" s="3" t="s">
        <v>278</v>
      </c>
      <c r="B139" s="3" t="s">
        <v>279</v>
      </c>
      <c r="C139" s="3">
        <v>-46728.798587</v>
      </c>
      <c r="D139" s="3">
        <v>-46728.798587</v>
      </c>
      <c r="E139" s="3">
        <v>0.0</v>
      </c>
      <c r="F139" s="3">
        <f t="shared" si="1"/>
        <v>1</v>
      </c>
      <c r="G139" s="3">
        <v>138.0</v>
      </c>
      <c r="H139" s="3">
        <f t="shared" si="2"/>
        <v>0.04131736527</v>
      </c>
      <c r="I139" s="3"/>
      <c r="J139" s="3"/>
      <c r="K139" s="3"/>
      <c r="L139" s="3"/>
      <c r="M139" s="3"/>
      <c r="N139" s="3"/>
      <c r="O139" s="3"/>
      <c r="P139" s="3"/>
      <c r="Q139" s="3"/>
      <c r="R139" s="3"/>
    </row>
    <row r="140" ht="14.25" hidden="1" customHeight="1">
      <c r="A140" s="3" t="s">
        <v>280</v>
      </c>
      <c r="B140" s="3" t="s">
        <v>281</v>
      </c>
      <c r="C140" s="3">
        <v>-41971.646299</v>
      </c>
      <c r="D140" s="3">
        <v>-41971.646299</v>
      </c>
      <c r="E140" s="3">
        <v>0.0</v>
      </c>
      <c r="F140" s="3">
        <f t="shared" si="1"/>
        <v>1</v>
      </c>
      <c r="G140" s="3">
        <v>139.0</v>
      </c>
      <c r="H140" s="3">
        <f t="shared" si="2"/>
        <v>0.04161676647</v>
      </c>
      <c r="I140" s="3"/>
      <c r="J140" s="3"/>
      <c r="K140" s="3"/>
      <c r="L140" s="3"/>
      <c r="M140" s="3"/>
      <c r="N140" s="3"/>
      <c r="O140" s="3"/>
      <c r="P140" s="3"/>
      <c r="Q140" s="3"/>
      <c r="R140" s="3"/>
    </row>
    <row r="141" ht="14.25" hidden="1" customHeight="1">
      <c r="A141" s="3" t="s">
        <v>282</v>
      </c>
      <c r="B141" s="3" t="s">
        <v>283</v>
      </c>
      <c r="C141" s="3">
        <v>-39276.454788</v>
      </c>
      <c r="D141" s="3">
        <v>-39276.454788</v>
      </c>
      <c r="E141" s="3">
        <v>0.0</v>
      </c>
      <c r="F141" s="3">
        <f t="shared" si="1"/>
        <v>1</v>
      </c>
      <c r="G141" s="3">
        <v>140.0</v>
      </c>
      <c r="H141" s="3">
        <f t="shared" si="2"/>
        <v>0.04191616766</v>
      </c>
      <c r="I141" s="3"/>
      <c r="J141" s="3"/>
      <c r="K141" s="3"/>
      <c r="L141" s="3"/>
      <c r="M141" s="3"/>
      <c r="N141" s="3"/>
      <c r="O141" s="3"/>
      <c r="P141" s="3"/>
      <c r="Q141" s="3"/>
      <c r="R141" s="3"/>
    </row>
    <row r="142" ht="14.25" hidden="1" customHeight="1">
      <c r="A142" s="3" t="s">
        <v>284</v>
      </c>
      <c r="B142" s="3" t="s">
        <v>285</v>
      </c>
      <c r="C142" s="3">
        <v>-48687.868741</v>
      </c>
      <c r="D142" s="3">
        <v>-48687.868741</v>
      </c>
      <c r="E142" s="3">
        <v>0.0</v>
      </c>
      <c r="F142" s="3">
        <f t="shared" si="1"/>
        <v>1</v>
      </c>
      <c r="G142" s="3">
        <v>141.0</v>
      </c>
      <c r="H142" s="3">
        <f t="shared" si="2"/>
        <v>0.04221556886</v>
      </c>
      <c r="I142" s="3"/>
      <c r="J142" s="3"/>
      <c r="K142" s="3"/>
      <c r="L142" s="3"/>
      <c r="M142" s="3"/>
      <c r="N142" s="3"/>
      <c r="O142" s="3"/>
      <c r="P142" s="3"/>
      <c r="Q142" s="3"/>
      <c r="R142" s="3"/>
    </row>
    <row r="143" ht="14.25" hidden="1" customHeight="1">
      <c r="A143" s="3" t="s">
        <v>286</v>
      </c>
      <c r="B143" s="3" t="s">
        <v>287</v>
      </c>
      <c r="C143" s="3">
        <v>-21889.654236</v>
      </c>
      <c r="D143" s="3">
        <v>-21889.654236</v>
      </c>
      <c r="E143" s="3">
        <v>0.0</v>
      </c>
      <c r="F143" s="3">
        <f t="shared" si="1"/>
        <v>1</v>
      </c>
      <c r="G143" s="3">
        <v>142.0</v>
      </c>
      <c r="H143" s="3">
        <f t="shared" si="2"/>
        <v>0.04251497006</v>
      </c>
      <c r="I143" s="3"/>
      <c r="J143" s="3"/>
      <c r="K143" s="3"/>
      <c r="L143" s="3"/>
      <c r="M143" s="3"/>
      <c r="N143" s="3"/>
      <c r="O143" s="3"/>
      <c r="P143" s="3"/>
      <c r="Q143" s="3"/>
      <c r="R143" s="3"/>
    </row>
    <row r="144" ht="14.25" hidden="1" customHeight="1">
      <c r="A144" s="3" t="s">
        <v>288</v>
      </c>
      <c r="B144" s="3" t="s">
        <v>289</v>
      </c>
      <c r="C144" s="3">
        <v>-22308.774951</v>
      </c>
      <c r="D144" s="3">
        <v>-22308.774951</v>
      </c>
      <c r="E144" s="3">
        <v>0.0</v>
      </c>
      <c r="F144" s="3">
        <f t="shared" si="1"/>
        <v>1</v>
      </c>
      <c r="G144" s="3">
        <v>143.0</v>
      </c>
      <c r="H144" s="3">
        <f t="shared" si="2"/>
        <v>0.04281437126</v>
      </c>
      <c r="I144" s="3"/>
      <c r="J144" s="3"/>
      <c r="K144" s="3"/>
      <c r="L144" s="3"/>
      <c r="M144" s="3"/>
      <c r="N144" s="3"/>
      <c r="O144" s="3"/>
      <c r="P144" s="3"/>
      <c r="Q144" s="3"/>
      <c r="R144" s="3"/>
    </row>
    <row r="145" ht="14.25" hidden="1" customHeight="1">
      <c r="A145" s="3" t="s">
        <v>290</v>
      </c>
      <c r="B145" s="3" t="s">
        <v>291</v>
      </c>
      <c r="C145" s="3">
        <v>-50349.201807</v>
      </c>
      <c r="D145" s="3">
        <v>-50349.201807</v>
      </c>
      <c r="E145" s="3">
        <v>0.0</v>
      </c>
      <c r="F145" s="3">
        <f t="shared" si="1"/>
        <v>1</v>
      </c>
      <c r="G145" s="3">
        <v>144.0</v>
      </c>
      <c r="H145" s="3">
        <f t="shared" si="2"/>
        <v>0.04311377246</v>
      </c>
      <c r="I145" s="3"/>
      <c r="J145" s="3"/>
      <c r="K145" s="3"/>
      <c r="L145" s="3"/>
      <c r="M145" s="3"/>
      <c r="N145" s="3"/>
      <c r="O145" s="3"/>
      <c r="P145" s="3"/>
      <c r="Q145" s="3"/>
      <c r="R145" s="3"/>
    </row>
    <row r="146" ht="14.25" hidden="1" customHeight="1">
      <c r="A146" s="3" t="s">
        <v>292</v>
      </c>
      <c r="B146" s="3" t="s">
        <v>293</v>
      </c>
      <c r="C146" s="3">
        <v>-16292.269426</v>
      </c>
      <c r="D146" s="3">
        <v>-16292.269426</v>
      </c>
      <c r="E146" s="3">
        <v>0.0</v>
      </c>
      <c r="F146" s="3">
        <f t="shared" si="1"/>
        <v>1</v>
      </c>
      <c r="G146" s="3">
        <v>145.0</v>
      </c>
      <c r="H146" s="3">
        <f t="shared" si="2"/>
        <v>0.04341317365</v>
      </c>
      <c r="I146" s="3"/>
      <c r="J146" s="3"/>
      <c r="K146" s="3"/>
      <c r="L146" s="3"/>
      <c r="M146" s="3"/>
      <c r="N146" s="3"/>
      <c r="O146" s="3"/>
      <c r="P146" s="3"/>
      <c r="Q146" s="3"/>
      <c r="R146" s="3"/>
    </row>
    <row r="147" ht="14.25" hidden="1" customHeight="1">
      <c r="A147" s="3" t="s">
        <v>294</v>
      </c>
      <c r="B147" s="3" t="s">
        <v>295</v>
      </c>
      <c r="C147" s="3">
        <v>-16225.739288</v>
      </c>
      <c r="D147" s="3">
        <v>-16225.739288</v>
      </c>
      <c r="E147" s="3">
        <v>0.0</v>
      </c>
      <c r="F147" s="3">
        <f t="shared" si="1"/>
        <v>1</v>
      </c>
      <c r="G147" s="3">
        <v>146.0</v>
      </c>
      <c r="H147" s="3">
        <f t="shared" si="2"/>
        <v>0.04371257485</v>
      </c>
      <c r="I147" s="3"/>
      <c r="J147" s="3"/>
      <c r="K147" s="3"/>
      <c r="L147" s="3"/>
      <c r="M147" s="3"/>
      <c r="N147" s="3"/>
      <c r="O147" s="3"/>
      <c r="P147" s="3"/>
      <c r="Q147" s="3"/>
      <c r="R147" s="3"/>
    </row>
    <row r="148" ht="14.25" hidden="1" customHeight="1">
      <c r="A148" s="3" t="s">
        <v>296</v>
      </c>
      <c r="B148" s="3" t="s">
        <v>297</v>
      </c>
      <c r="C148" s="3">
        <v>-27177.414867</v>
      </c>
      <c r="D148" s="3">
        <v>-27177.414867</v>
      </c>
      <c r="E148" s="3">
        <v>0.0</v>
      </c>
      <c r="F148" s="3">
        <f t="shared" si="1"/>
        <v>1</v>
      </c>
      <c r="G148" s="3">
        <v>147.0</v>
      </c>
      <c r="H148" s="3">
        <f t="shared" si="2"/>
        <v>0.04401197605</v>
      </c>
      <c r="I148" s="3"/>
      <c r="J148" s="3"/>
      <c r="K148" s="3"/>
      <c r="L148" s="3"/>
      <c r="M148" s="3"/>
      <c r="N148" s="3"/>
      <c r="O148" s="3"/>
      <c r="P148" s="3"/>
      <c r="Q148" s="3"/>
      <c r="R148" s="3"/>
    </row>
    <row r="149" ht="14.25" hidden="1" customHeight="1">
      <c r="A149" s="3" t="s">
        <v>298</v>
      </c>
      <c r="B149" s="3" t="s">
        <v>299</v>
      </c>
      <c r="C149" s="3">
        <v>-29345.694008</v>
      </c>
      <c r="D149" s="3">
        <v>-29345.694008</v>
      </c>
      <c r="E149" s="3">
        <v>0.0</v>
      </c>
      <c r="F149" s="3">
        <f t="shared" si="1"/>
        <v>1</v>
      </c>
      <c r="G149" s="3">
        <v>148.0</v>
      </c>
      <c r="H149" s="3">
        <f t="shared" si="2"/>
        <v>0.04431137725</v>
      </c>
      <c r="I149" s="3"/>
      <c r="J149" s="3"/>
      <c r="K149" s="3"/>
      <c r="L149" s="3"/>
      <c r="M149" s="3"/>
      <c r="N149" s="3"/>
      <c r="O149" s="3"/>
      <c r="P149" s="3"/>
      <c r="Q149" s="3"/>
      <c r="R149" s="3"/>
    </row>
    <row r="150" ht="14.25" hidden="1" customHeight="1">
      <c r="A150" s="3" t="s">
        <v>300</v>
      </c>
      <c r="B150" s="3" t="s">
        <v>301</v>
      </c>
      <c r="C150" s="3">
        <v>-13506.886775</v>
      </c>
      <c r="D150" s="3">
        <v>-13506.886775</v>
      </c>
      <c r="E150" s="3">
        <v>0.0</v>
      </c>
      <c r="F150" s="3">
        <f t="shared" si="1"/>
        <v>1</v>
      </c>
      <c r="G150" s="3">
        <v>149.0</v>
      </c>
      <c r="H150" s="3">
        <f t="shared" si="2"/>
        <v>0.04461077844</v>
      </c>
      <c r="I150" s="3"/>
      <c r="J150" s="3"/>
      <c r="K150" s="3"/>
      <c r="L150" s="3"/>
      <c r="M150" s="3"/>
      <c r="N150" s="3"/>
      <c r="O150" s="3"/>
      <c r="P150" s="3"/>
      <c r="Q150" s="3"/>
      <c r="R150" s="3"/>
    </row>
    <row r="151" ht="14.25" hidden="1" customHeight="1">
      <c r="A151" s="3" t="s">
        <v>302</v>
      </c>
      <c r="B151" s="3" t="s">
        <v>303</v>
      </c>
      <c r="C151" s="3">
        <v>-33891.802438</v>
      </c>
      <c r="D151" s="3">
        <v>-33891.802438</v>
      </c>
      <c r="E151" s="3">
        <v>0.0</v>
      </c>
      <c r="F151" s="3">
        <f t="shared" si="1"/>
        <v>1</v>
      </c>
      <c r="G151" s="3">
        <v>150.0</v>
      </c>
      <c r="H151" s="3">
        <f t="shared" si="2"/>
        <v>0.04491017964</v>
      </c>
      <c r="I151" s="3"/>
      <c r="J151" s="3"/>
      <c r="K151" s="3"/>
      <c r="L151" s="3"/>
      <c r="M151" s="3"/>
      <c r="N151" s="3"/>
      <c r="O151" s="3"/>
      <c r="P151" s="3"/>
      <c r="Q151" s="3"/>
      <c r="R151" s="3"/>
    </row>
    <row r="152" ht="14.25" hidden="1" customHeight="1">
      <c r="A152" s="3" t="s">
        <v>304</v>
      </c>
      <c r="B152" s="3" t="s">
        <v>305</v>
      </c>
      <c r="C152" s="3">
        <v>-22223.375893</v>
      </c>
      <c r="D152" s="3">
        <v>-22223.375893</v>
      </c>
      <c r="E152" s="3">
        <v>0.0</v>
      </c>
      <c r="F152" s="3">
        <f t="shared" si="1"/>
        <v>1</v>
      </c>
      <c r="G152" s="3">
        <v>151.0</v>
      </c>
      <c r="H152" s="3">
        <f t="shared" si="2"/>
        <v>0.04520958084</v>
      </c>
      <c r="I152" s="3"/>
      <c r="J152" s="3"/>
      <c r="K152" s="3"/>
      <c r="L152" s="3"/>
      <c r="M152" s="3"/>
      <c r="N152" s="3"/>
      <c r="O152" s="3"/>
      <c r="P152" s="3"/>
      <c r="Q152" s="3"/>
      <c r="R152" s="3"/>
    </row>
    <row r="153" ht="14.25" hidden="1" customHeight="1">
      <c r="A153" s="3" t="s">
        <v>306</v>
      </c>
      <c r="B153" s="3" t="s">
        <v>307</v>
      </c>
      <c r="C153" s="3">
        <v>-24336.281038</v>
      </c>
      <c r="D153" s="3">
        <v>-24336.281038</v>
      </c>
      <c r="E153" s="3">
        <v>0.0</v>
      </c>
      <c r="F153" s="3">
        <f t="shared" si="1"/>
        <v>1</v>
      </c>
      <c r="G153" s="3">
        <v>152.0</v>
      </c>
      <c r="H153" s="3">
        <f t="shared" si="2"/>
        <v>0.04550898204</v>
      </c>
      <c r="I153" s="3"/>
      <c r="J153" s="3"/>
      <c r="K153" s="3"/>
      <c r="L153" s="3"/>
      <c r="M153" s="3"/>
      <c r="N153" s="3"/>
      <c r="O153" s="3"/>
      <c r="P153" s="3"/>
      <c r="Q153" s="3"/>
      <c r="R153" s="3"/>
    </row>
    <row r="154" ht="14.25" hidden="1" customHeight="1">
      <c r="A154" s="3" t="s">
        <v>308</v>
      </c>
      <c r="B154" s="3" t="s">
        <v>309</v>
      </c>
      <c r="C154" s="3">
        <v>-34239.806492</v>
      </c>
      <c r="D154" s="3">
        <v>-34239.806492</v>
      </c>
      <c r="E154" s="3">
        <v>0.0</v>
      </c>
      <c r="F154" s="3">
        <f t="shared" si="1"/>
        <v>1</v>
      </c>
      <c r="G154" s="3">
        <v>153.0</v>
      </c>
      <c r="H154" s="3">
        <f t="shared" si="2"/>
        <v>0.04580838323</v>
      </c>
      <c r="I154" s="3"/>
      <c r="J154" s="3"/>
      <c r="K154" s="3"/>
      <c r="L154" s="3"/>
      <c r="M154" s="3"/>
      <c r="N154" s="3"/>
      <c r="O154" s="3"/>
      <c r="P154" s="3"/>
      <c r="Q154" s="3"/>
      <c r="R154" s="3"/>
    </row>
    <row r="155" ht="14.25" hidden="1" customHeight="1">
      <c r="A155" s="3" t="s">
        <v>310</v>
      </c>
      <c r="B155" s="3" t="s">
        <v>311</v>
      </c>
      <c r="C155" s="3">
        <v>-40558.344324</v>
      </c>
      <c r="D155" s="3">
        <v>-40558.344324</v>
      </c>
      <c r="E155" s="3">
        <v>0.0</v>
      </c>
      <c r="F155" s="3">
        <f t="shared" si="1"/>
        <v>1</v>
      </c>
      <c r="G155" s="3">
        <v>154.0</v>
      </c>
      <c r="H155" s="3">
        <f t="shared" si="2"/>
        <v>0.04610778443</v>
      </c>
      <c r="I155" s="3"/>
      <c r="J155" s="3"/>
      <c r="K155" s="3"/>
      <c r="L155" s="3"/>
      <c r="M155" s="3"/>
      <c r="N155" s="3"/>
      <c r="O155" s="3"/>
      <c r="P155" s="3"/>
      <c r="Q155" s="3"/>
      <c r="R155" s="3"/>
    </row>
    <row r="156" ht="14.25" hidden="1" customHeight="1">
      <c r="A156" s="3" t="s">
        <v>312</v>
      </c>
      <c r="B156" s="3" t="s">
        <v>313</v>
      </c>
      <c r="C156" s="3">
        <v>-13178.635839</v>
      </c>
      <c r="D156" s="3">
        <v>-13178.635839</v>
      </c>
      <c r="E156" s="3">
        <v>0.0</v>
      </c>
      <c r="F156" s="3">
        <f t="shared" si="1"/>
        <v>1</v>
      </c>
      <c r="G156" s="3">
        <v>155.0</v>
      </c>
      <c r="H156" s="3">
        <f t="shared" si="2"/>
        <v>0.04640718563</v>
      </c>
      <c r="I156" s="3"/>
      <c r="J156" s="3"/>
      <c r="K156" s="3"/>
      <c r="L156" s="3"/>
      <c r="M156" s="3"/>
      <c r="N156" s="3"/>
      <c r="O156" s="3"/>
      <c r="P156" s="3"/>
      <c r="Q156" s="3"/>
      <c r="R156" s="3"/>
    </row>
    <row r="157" ht="14.25" hidden="1" customHeight="1">
      <c r="A157" s="3" t="s">
        <v>314</v>
      </c>
      <c r="B157" s="3" t="s">
        <v>315</v>
      </c>
      <c r="C157" s="3">
        <v>-37162.014072</v>
      </c>
      <c r="D157" s="3">
        <v>-37162.014071</v>
      </c>
      <c r="E157" s="6">
        <v>-2.0E-6</v>
      </c>
      <c r="F157" s="3" t="str">
        <f t="shared" si="1"/>
        <v>#NUM!</v>
      </c>
      <c r="G157" s="3">
        <v>156.0</v>
      </c>
      <c r="H157" s="3">
        <f t="shared" si="2"/>
        <v>0.04670658683</v>
      </c>
      <c r="I157" s="3"/>
      <c r="J157" s="3"/>
      <c r="K157" s="3"/>
      <c r="L157" s="3"/>
      <c r="M157" s="3"/>
      <c r="N157" s="3"/>
      <c r="O157" s="3"/>
      <c r="P157" s="3"/>
      <c r="Q157" s="3"/>
      <c r="R157" s="3"/>
    </row>
    <row r="158" ht="14.25" hidden="1" customHeight="1">
      <c r="A158" s="3" t="s">
        <v>316</v>
      </c>
      <c r="B158" s="3" t="s">
        <v>317</v>
      </c>
      <c r="C158" s="3">
        <v>-31894.055408</v>
      </c>
      <c r="D158" s="3">
        <v>-31894.055407</v>
      </c>
      <c r="E158" s="6">
        <v>-2.0E-6</v>
      </c>
      <c r="F158" s="3" t="str">
        <f t="shared" si="1"/>
        <v>#NUM!</v>
      </c>
      <c r="G158" s="3">
        <v>157.0</v>
      </c>
      <c r="H158" s="3">
        <f t="shared" si="2"/>
        <v>0.04700598802</v>
      </c>
      <c r="I158" s="3"/>
      <c r="J158" s="3"/>
      <c r="K158" s="3"/>
      <c r="L158" s="3"/>
      <c r="M158" s="3"/>
      <c r="N158" s="3"/>
      <c r="O158" s="3"/>
      <c r="P158" s="3"/>
      <c r="Q158" s="3"/>
      <c r="R158" s="3"/>
    </row>
    <row r="159" ht="14.25" hidden="1" customHeight="1">
      <c r="A159" s="3" t="s">
        <v>318</v>
      </c>
      <c r="B159" s="3" t="s">
        <v>319</v>
      </c>
      <c r="C159" s="3">
        <v>-65322.32319</v>
      </c>
      <c r="D159" s="3">
        <v>-65322.323188</v>
      </c>
      <c r="E159" s="6">
        <v>-4.0E-6</v>
      </c>
      <c r="F159" s="3" t="str">
        <f t="shared" si="1"/>
        <v>#NUM!</v>
      </c>
      <c r="G159" s="3">
        <v>158.0</v>
      </c>
      <c r="H159" s="3">
        <f t="shared" si="2"/>
        <v>0.04730538922</v>
      </c>
      <c r="I159" s="3"/>
      <c r="J159" s="3"/>
      <c r="K159" s="3"/>
      <c r="L159" s="3"/>
      <c r="M159" s="3"/>
      <c r="N159" s="3"/>
      <c r="O159" s="3"/>
      <c r="P159" s="3"/>
      <c r="Q159" s="3"/>
      <c r="R159" s="3"/>
    </row>
    <row r="160" ht="14.25" hidden="1" customHeight="1">
      <c r="A160" s="3" t="s">
        <v>320</v>
      </c>
      <c r="B160" s="3" t="s">
        <v>321</v>
      </c>
      <c r="C160" s="3">
        <v>-87517.624691</v>
      </c>
      <c r="D160" s="3">
        <v>-87517.624678</v>
      </c>
      <c r="E160" s="6">
        <v>-2.6E-5</v>
      </c>
      <c r="F160" s="3" t="str">
        <f t="shared" si="1"/>
        <v>#NUM!</v>
      </c>
      <c r="G160" s="3">
        <v>159.0</v>
      </c>
      <c r="H160" s="3">
        <f t="shared" si="2"/>
        <v>0.04760479042</v>
      </c>
      <c r="I160" s="3"/>
      <c r="J160" s="3"/>
      <c r="K160" s="3"/>
      <c r="L160" s="3"/>
      <c r="M160" s="3"/>
      <c r="N160" s="3"/>
      <c r="O160" s="3"/>
      <c r="P160" s="3"/>
      <c r="Q160" s="3"/>
      <c r="R160" s="3"/>
    </row>
    <row r="161" ht="14.25" hidden="1" customHeight="1">
      <c r="A161" s="3" t="s">
        <v>322</v>
      </c>
      <c r="B161" s="3" t="s">
        <v>323</v>
      </c>
      <c r="C161" s="3">
        <v>-9392.156733</v>
      </c>
      <c r="D161" s="3">
        <v>-9392.156714</v>
      </c>
      <c r="E161" s="6">
        <v>-3.8E-5</v>
      </c>
      <c r="F161" s="3" t="str">
        <f t="shared" si="1"/>
        <v>#NUM!</v>
      </c>
      <c r="G161" s="3">
        <v>160.0</v>
      </c>
      <c r="H161" s="3">
        <f t="shared" si="2"/>
        <v>0.04790419162</v>
      </c>
      <c r="I161" s="3"/>
      <c r="J161" s="3"/>
      <c r="K161" s="3"/>
      <c r="L161" s="3"/>
      <c r="M161" s="3"/>
      <c r="N161" s="3"/>
      <c r="O161" s="3"/>
      <c r="P161" s="3"/>
      <c r="Q161" s="3"/>
      <c r="R161" s="3"/>
    </row>
    <row r="162" ht="14.25" hidden="1" customHeight="1">
      <c r="A162" s="3" t="s">
        <v>324</v>
      </c>
      <c r="B162" s="3" t="s">
        <v>325</v>
      </c>
      <c r="C162" s="3">
        <v>-50079.351256</v>
      </c>
      <c r="D162" s="3">
        <v>-50079.351228</v>
      </c>
      <c r="E162" s="6">
        <v>-5.6E-5</v>
      </c>
      <c r="F162" s="3" t="str">
        <f t="shared" si="1"/>
        <v>#NUM!</v>
      </c>
      <c r="G162" s="3">
        <v>161.0</v>
      </c>
      <c r="H162" s="3">
        <f t="shared" si="2"/>
        <v>0.04820359281</v>
      </c>
      <c r="I162" s="3"/>
      <c r="J162" s="3"/>
      <c r="K162" s="3"/>
      <c r="L162" s="3"/>
      <c r="M162" s="3"/>
      <c r="N162" s="3"/>
      <c r="O162" s="3"/>
      <c r="P162" s="3"/>
      <c r="Q162" s="3"/>
      <c r="R162" s="3"/>
    </row>
    <row r="163" ht="14.25" hidden="1" customHeight="1">
      <c r="A163" s="3" t="s">
        <v>326</v>
      </c>
      <c r="B163" s="3" t="s">
        <v>327</v>
      </c>
      <c r="C163" s="3">
        <v>-8141.500721</v>
      </c>
      <c r="D163" s="3">
        <v>-8141.500675</v>
      </c>
      <c r="E163" s="6">
        <v>-9.2E-5</v>
      </c>
      <c r="F163" s="3" t="str">
        <f t="shared" si="1"/>
        <v>#NUM!</v>
      </c>
      <c r="G163" s="3">
        <v>162.0</v>
      </c>
      <c r="H163" s="3">
        <f t="shared" si="2"/>
        <v>0.04850299401</v>
      </c>
      <c r="I163" s="3"/>
      <c r="J163" s="3"/>
      <c r="K163" s="3"/>
      <c r="L163" s="3"/>
      <c r="M163" s="3"/>
      <c r="N163" s="3"/>
      <c r="O163" s="3"/>
      <c r="P163" s="3"/>
      <c r="Q163" s="3"/>
      <c r="R163" s="3"/>
    </row>
    <row r="164" ht="14.25" hidden="1" customHeight="1">
      <c r="A164" s="3" t="s">
        <v>328</v>
      </c>
      <c r="B164" s="3" t="s">
        <v>329</v>
      </c>
      <c r="C164" s="3">
        <v>-35848.085514</v>
      </c>
      <c r="D164" s="3">
        <v>-35848.085416</v>
      </c>
      <c r="E164" s="3">
        <v>-1.96E-4</v>
      </c>
      <c r="F164" s="3" t="str">
        <f t="shared" si="1"/>
        <v>#NUM!</v>
      </c>
      <c r="G164" s="3">
        <v>163.0</v>
      </c>
      <c r="H164" s="3">
        <f t="shared" si="2"/>
        <v>0.04880239521</v>
      </c>
      <c r="I164" s="3"/>
      <c r="J164" s="3"/>
      <c r="K164" s="3"/>
      <c r="L164" s="3"/>
      <c r="M164" s="3"/>
      <c r="N164" s="3"/>
      <c r="O164" s="3"/>
      <c r="P164" s="3"/>
      <c r="Q164" s="3"/>
      <c r="R164" s="3"/>
    </row>
    <row r="165" ht="14.25" hidden="1" customHeight="1">
      <c r="A165" s="3" t="s">
        <v>330</v>
      </c>
      <c r="B165" s="3" t="s">
        <v>331</v>
      </c>
      <c r="C165" s="3">
        <v>-20881.238583</v>
      </c>
      <c r="D165" s="3">
        <v>-20881.238286</v>
      </c>
      <c r="E165" s="3">
        <v>-5.94E-4</v>
      </c>
      <c r="F165" s="3" t="str">
        <f t="shared" si="1"/>
        <v>#NUM!</v>
      </c>
      <c r="G165" s="3">
        <v>164.0</v>
      </c>
      <c r="H165" s="3">
        <f t="shared" si="2"/>
        <v>0.04910179641</v>
      </c>
      <c r="I165" s="3"/>
      <c r="J165" s="3"/>
      <c r="K165" s="3"/>
      <c r="L165" s="3"/>
      <c r="M165" s="3"/>
      <c r="N165" s="3"/>
      <c r="O165" s="3"/>
      <c r="P165" s="3"/>
      <c r="Q165" s="3"/>
      <c r="R165" s="3"/>
    </row>
    <row r="166" ht="14.25" hidden="1" customHeight="1">
      <c r="A166" s="3" t="s">
        <v>332</v>
      </c>
      <c r="B166" s="3" t="s">
        <v>301</v>
      </c>
      <c r="C166" s="3">
        <v>-9350.896976</v>
      </c>
      <c r="D166" s="3">
        <v>-9350.896374</v>
      </c>
      <c r="E166" s="3">
        <v>-0.001204</v>
      </c>
      <c r="F166" s="3" t="str">
        <f t="shared" si="1"/>
        <v>#NUM!</v>
      </c>
      <c r="G166" s="3">
        <v>165.0</v>
      </c>
      <c r="H166" s="3">
        <f t="shared" si="2"/>
        <v>0.0494011976</v>
      </c>
      <c r="I166" s="3"/>
      <c r="J166" s="3"/>
      <c r="K166" s="3"/>
      <c r="L166" s="3"/>
      <c r="M166" s="3"/>
      <c r="N166" s="3"/>
      <c r="O166" s="3"/>
      <c r="P166" s="3"/>
      <c r="Q166" s="3"/>
      <c r="R166" s="3"/>
    </row>
    <row r="167" ht="14.25" hidden="1" customHeight="1">
      <c r="A167" s="3" t="s">
        <v>333</v>
      </c>
      <c r="B167" s="3" t="s">
        <v>334</v>
      </c>
      <c r="C167" s="3">
        <v>-18212.097387</v>
      </c>
      <c r="D167" s="3">
        <v>-18212.086205</v>
      </c>
      <c r="E167" s="3">
        <v>-0.022364</v>
      </c>
      <c r="F167" s="3" t="str">
        <f t="shared" si="1"/>
        <v>#NUM!</v>
      </c>
      <c r="G167" s="3">
        <v>166.0</v>
      </c>
      <c r="H167" s="3">
        <f t="shared" si="2"/>
        <v>0.0497005988</v>
      </c>
      <c r="I167" s="3"/>
      <c r="J167" s="3"/>
      <c r="K167" s="3"/>
      <c r="L167" s="3"/>
      <c r="M167" s="3"/>
      <c r="N167" s="3"/>
      <c r="O167" s="3"/>
      <c r="P167" s="3"/>
      <c r="Q167" s="3"/>
      <c r="R167" s="3"/>
    </row>
    <row r="168" ht="14.25" hidden="1" customHeight="1">
      <c r="A168" s="3" t="s">
        <v>335</v>
      </c>
      <c r="B168" s="3" t="s">
        <v>336</v>
      </c>
      <c r="C168" s="3">
        <v>-89513.249334</v>
      </c>
      <c r="D168" s="3">
        <v>-89510.446676</v>
      </c>
      <c r="E168" s="3">
        <v>-5.60532</v>
      </c>
      <c r="F168" s="3" t="str">
        <f t="shared" si="1"/>
        <v>#NUM!</v>
      </c>
      <c r="G168" s="3">
        <v>167.0</v>
      </c>
      <c r="H168" s="3">
        <f t="shared" si="2"/>
        <v>0.05</v>
      </c>
      <c r="I168" s="3"/>
      <c r="J168" s="3"/>
      <c r="K168" s="3"/>
      <c r="L168" s="3"/>
      <c r="M168" s="3"/>
      <c r="N168" s="3"/>
      <c r="O168" s="3"/>
      <c r="P168" s="3"/>
      <c r="Q168" s="3"/>
      <c r="R168" s="3"/>
    </row>
    <row r="169" ht="14.2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</row>
    <row r="170" ht="14.25" customHeight="1">
      <c r="A170" s="7" t="s">
        <v>337</v>
      </c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</row>
    <row r="171" ht="14.2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</row>
    <row r="172" ht="14.2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</row>
    <row r="173" ht="14.2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</row>
    <row r="174" ht="14.2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</row>
    <row r="175" ht="14.2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</row>
    <row r="176" ht="14.2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</row>
    <row r="177" ht="14.2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</row>
    <row r="178" ht="14.2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</row>
    <row r="179" ht="14.2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</row>
    <row r="180" ht="14.2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</row>
    <row r="181" ht="14.2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</row>
    <row r="182" ht="14.2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</row>
    <row r="183" ht="14.2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</row>
    <row r="184" ht="14.2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</row>
    <row r="185" ht="14.2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</row>
    <row r="186" ht="14.2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</row>
    <row r="187" ht="14.2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</row>
    <row r="188" ht="14.2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</row>
    <row r="189" ht="14.2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</row>
    <row r="190" ht="14.2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</row>
    <row r="191" ht="14.2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</row>
    <row r="192" ht="14.2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</row>
    <row r="193" ht="14.2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</row>
    <row r="194" ht="14.2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</row>
    <row r="195" ht="14.2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</row>
    <row r="196" ht="14.2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</row>
    <row r="197" ht="14.2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</row>
    <row r="198" ht="14.2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</row>
    <row r="199" ht="14.2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</row>
    <row r="200" ht="14.2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</row>
    <row r="201" ht="14.2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</row>
    <row r="202" ht="14.2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</row>
    <row r="203" ht="14.2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</row>
    <row r="204" ht="14.2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</row>
    <row r="205" ht="14.2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</row>
    <row r="206" ht="14.2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</row>
    <row r="207" ht="14.2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</row>
    <row r="208" ht="14.2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</row>
    <row r="209" ht="14.2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</row>
    <row r="210" ht="14.2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</row>
    <row r="211" ht="14.2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</row>
    <row r="212" ht="14.2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</row>
    <row r="213" ht="14.2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</row>
    <row r="214" ht="14.2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</row>
    <row r="215" ht="14.2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</row>
    <row r="216" ht="14.2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</row>
    <row r="217" ht="14.2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</row>
    <row r="218" ht="14.2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</row>
    <row r="219" ht="14.2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</row>
    <row r="220" ht="14.2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</row>
    <row r="221" ht="14.2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</row>
    <row r="222" ht="14.2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</row>
    <row r="223" ht="14.2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</row>
    <row r="224" ht="14.2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</row>
    <row r="225" ht="14.2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</row>
    <row r="226" ht="14.2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</row>
    <row r="227" ht="14.2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</row>
    <row r="228" ht="14.2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</row>
    <row r="229" ht="14.2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</row>
    <row r="230" ht="14.2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</row>
    <row r="231" ht="14.2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</row>
    <row r="232" ht="14.2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</row>
    <row r="233" ht="14.2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</row>
    <row r="234" ht="14.2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</row>
    <row r="235" ht="14.2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</row>
    <row r="236" ht="14.2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</row>
    <row r="237" ht="14.2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</row>
    <row r="238" ht="14.2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</row>
    <row r="239" ht="14.2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</row>
    <row r="240" ht="14.2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</row>
    <row r="241" ht="14.2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</row>
    <row r="242" ht="14.2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</row>
    <row r="243" ht="14.2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</row>
    <row r="244" ht="14.2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</row>
    <row r="245" ht="14.2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</row>
    <row r="246" ht="14.2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</row>
    <row r="247" ht="14.2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</row>
    <row r="248" ht="14.2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</row>
    <row r="249" ht="14.2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</row>
    <row r="250" ht="14.2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</row>
    <row r="251" ht="14.2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</row>
    <row r="252" ht="14.2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</row>
    <row r="253" ht="14.2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</row>
    <row r="254" ht="14.2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</row>
    <row r="255" ht="14.2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</row>
    <row r="256" ht="14.2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</row>
    <row r="257" ht="14.2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</row>
    <row r="258" ht="14.2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</row>
    <row r="259" ht="14.2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</row>
    <row r="260" ht="14.2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</row>
    <row r="261" ht="14.2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</row>
    <row r="262" ht="14.2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</row>
    <row r="263" ht="14.2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</row>
    <row r="264" ht="14.2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</row>
    <row r="265" ht="14.2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</row>
    <row r="266" ht="14.2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</row>
    <row r="267" ht="14.2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</row>
    <row r="268" ht="14.2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</row>
    <row r="269" ht="14.2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</row>
    <row r="270" ht="14.2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</row>
    <row r="271" ht="14.2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</row>
    <row r="272" ht="14.2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</row>
    <row r="273" ht="14.2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</row>
    <row r="274" ht="14.2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</row>
    <row r="275" ht="14.2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</row>
    <row r="276" ht="14.2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</row>
    <row r="277" ht="14.2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</row>
    <row r="278" ht="14.2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</row>
    <row r="279" ht="14.2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</row>
    <row r="280" ht="14.2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</row>
    <row r="281" ht="14.2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</row>
    <row r="282" ht="14.2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</row>
    <row r="283" ht="14.2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</row>
    <row r="284" ht="14.2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</row>
    <row r="285" ht="14.2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</row>
    <row r="286" ht="14.2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</row>
    <row r="287" ht="14.2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</row>
    <row r="288" ht="14.2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</row>
    <row r="289" ht="14.2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</row>
    <row r="290" ht="14.2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</row>
    <row r="291" ht="14.2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</row>
    <row r="292" ht="14.2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</row>
    <row r="293" ht="14.2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</row>
    <row r="294" ht="14.2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</row>
    <row r="295" ht="14.2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</row>
    <row r="296" ht="14.2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</row>
    <row r="297" ht="14.2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</row>
    <row r="298" ht="14.2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</row>
    <row r="299" ht="14.2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</row>
    <row r="300" ht="14.2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</row>
    <row r="301" ht="14.2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</row>
    <row r="302" ht="14.2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</row>
    <row r="303" ht="14.2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</row>
    <row r="304" ht="14.2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</row>
    <row r="305" ht="14.2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</row>
    <row r="306" ht="14.2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</row>
    <row r="307" ht="14.2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</row>
    <row r="308" ht="14.2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</row>
    <row r="309" ht="14.2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</row>
    <row r="310" ht="14.2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</row>
    <row r="311" ht="14.2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</row>
    <row r="312" ht="14.2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</row>
    <row r="313" ht="14.2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</row>
    <row r="314" ht="14.2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</row>
    <row r="315" ht="14.2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</row>
    <row r="316" ht="14.2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</row>
    <row r="317" ht="14.2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</row>
    <row r="318" ht="14.2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</row>
    <row r="319" ht="14.2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</row>
    <row r="320" ht="14.2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</row>
    <row r="321" ht="14.2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</row>
    <row r="322" ht="14.2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</row>
    <row r="323" ht="14.2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</row>
    <row r="324" ht="14.2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</row>
    <row r="325" ht="14.2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</row>
    <row r="326" ht="14.2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</row>
    <row r="327" ht="14.2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</row>
    <row r="328" ht="14.2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</row>
    <row r="329" ht="14.2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</row>
    <row r="330" ht="14.2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</row>
    <row r="331" ht="14.2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</row>
    <row r="332" ht="14.2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</row>
    <row r="333" ht="14.2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</row>
    <row r="334" ht="14.2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</row>
    <row r="335" ht="14.2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</row>
    <row r="336" ht="14.2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</row>
    <row r="337" ht="14.2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</row>
    <row r="338" ht="14.2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</row>
    <row r="339" ht="14.2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</row>
    <row r="340" ht="14.2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</row>
    <row r="341" ht="14.2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</row>
    <row r="342" ht="14.2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</row>
    <row r="343" ht="14.2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</row>
    <row r="344" ht="14.2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</row>
    <row r="345" ht="14.2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</row>
    <row r="346" ht="14.2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</row>
    <row r="347" ht="14.2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</row>
    <row r="348" ht="14.2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</row>
    <row r="349" ht="14.2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</row>
    <row r="350" ht="14.2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</row>
    <row r="351" ht="14.2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</row>
    <row r="352" ht="14.2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</row>
    <row r="353" ht="14.2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</row>
    <row r="354" ht="14.2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</row>
    <row r="355" ht="14.2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</row>
    <row r="356" ht="14.2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</row>
    <row r="357" ht="14.2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</row>
    <row r="358" ht="14.2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</row>
    <row r="359" ht="14.2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</row>
    <row r="360" ht="14.2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</row>
    <row r="361" ht="14.2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</row>
    <row r="362" ht="14.2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</row>
    <row r="363" ht="14.2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</row>
    <row r="364" ht="14.2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</row>
    <row r="365" ht="14.2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</row>
    <row r="366" ht="14.2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</row>
    <row r="367" ht="14.2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</row>
    <row r="368" ht="14.2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</row>
    <row r="369" ht="14.2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</row>
    <row r="370" ht="14.2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</row>
    <row r="371" ht="14.2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</row>
    <row r="372" ht="14.2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</row>
    <row r="373" ht="14.2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</row>
    <row r="374" ht="14.2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</row>
    <row r="375" ht="14.2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</row>
    <row r="376" ht="14.2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</row>
    <row r="377" ht="14.2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</row>
    <row r="378" ht="14.2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</row>
    <row r="379" ht="14.2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</row>
    <row r="380" ht="14.2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</row>
    <row r="381" ht="14.2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</row>
    <row r="382" ht="14.2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</row>
    <row r="383" ht="14.2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</row>
    <row r="384" ht="14.2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</row>
    <row r="385" ht="14.2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</row>
    <row r="386" ht="14.2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</row>
    <row r="387" ht="14.2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</row>
    <row r="388" ht="14.2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</row>
    <row r="389" ht="14.2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</row>
    <row r="390" ht="14.2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</row>
    <row r="391" ht="14.2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</row>
    <row r="392" ht="14.2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</row>
    <row r="393" ht="14.2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</row>
    <row r="394" ht="14.2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</row>
    <row r="395" ht="14.2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</row>
    <row r="396" ht="14.2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</row>
    <row r="397" ht="14.2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</row>
    <row r="398" ht="14.2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</row>
    <row r="399" ht="14.2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</row>
    <row r="400" ht="14.2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</row>
    <row r="401" ht="14.2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</row>
    <row r="402" ht="14.2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</row>
    <row r="403" ht="14.2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</row>
    <row r="404" ht="14.2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</row>
    <row r="405" ht="14.2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</row>
    <row r="406" ht="14.2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</row>
    <row r="407" ht="14.2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</row>
    <row r="408" ht="14.2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</row>
    <row r="409" ht="14.2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</row>
    <row r="410" ht="14.2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</row>
    <row r="411" ht="14.2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</row>
    <row r="412" ht="14.2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</row>
    <row r="413" ht="14.2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</row>
    <row r="414" ht="14.2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</row>
    <row r="415" ht="14.2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</row>
    <row r="416" ht="14.2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</row>
    <row r="417" ht="14.2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</row>
    <row r="418" ht="14.2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</row>
    <row r="419" ht="14.2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</row>
    <row r="420" ht="14.2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</row>
    <row r="421" ht="14.2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</row>
    <row r="422" ht="14.2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</row>
    <row r="423" ht="14.2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</row>
    <row r="424" ht="14.2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</row>
    <row r="425" ht="14.2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</row>
    <row r="426" ht="14.2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</row>
    <row r="427" ht="14.2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</row>
    <row r="428" ht="14.2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</row>
    <row r="429" ht="14.2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</row>
    <row r="430" ht="14.2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</row>
    <row r="431" ht="14.2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</row>
    <row r="432" ht="14.2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</row>
    <row r="433" ht="14.2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</row>
    <row r="434" ht="14.2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</row>
    <row r="435" ht="14.2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</row>
    <row r="436" ht="14.2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</row>
    <row r="437" ht="14.2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</row>
    <row r="438" ht="14.2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</row>
    <row r="439" ht="14.2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</row>
    <row r="440" ht="14.2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</row>
    <row r="441" ht="14.2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</row>
    <row r="442" ht="14.2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</row>
    <row r="443" ht="14.2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</row>
    <row r="444" ht="14.2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</row>
    <row r="445" ht="14.2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</row>
    <row r="446" ht="14.2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</row>
    <row r="447" ht="14.2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</row>
    <row r="448" ht="14.2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</row>
    <row r="449" ht="14.2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</row>
    <row r="450" ht="14.2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</row>
    <row r="451" ht="14.2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</row>
    <row r="452" ht="14.2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</row>
    <row r="453" ht="14.2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</row>
    <row r="454" ht="14.2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</row>
    <row r="455" ht="14.2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</row>
    <row r="456" ht="14.2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</row>
    <row r="457" ht="14.2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</row>
    <row r="458" ht="14.2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</row>
    <row r="459" ht="14.2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</row>
    <row r="460" ht="14.2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</row>
    <row r="461" ht="14.2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</row>
    <row r="462" ht="14.2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</row>
    <row r="463" ht="14.2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</row>
    <row r="464" ht="14.2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</row>
    <row r="465" ht="14.2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</row>
    <row r="466" ht="14.2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</row>
    <row r="467" ht="14.2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</row>
    <row r="468" ht="14.2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</row>
    <row r="469" ht="14.2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</row>
    <row r="470" ht="14.2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</row>
    <row r="471" ht="14.2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</row>
    <row r="472" ht="14.2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</row>
    <row r="473" ht="14.2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</row>
    <row r="474" ht="14.2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</row>
    <row r="475" ht="14.2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</row>
    <row r="476" ht="14.2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</row>
    <row r="477" ht="14.2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</row>
    <row r="478" ht="14.2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</row>
    <row r="479" ht="14.2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</row>
    <row r="480" ht="14.2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</row>
    <row r="481" ht="14.2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</row>
    <row r="482" ht="14.2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</row>
    <row r="483" ht="14.2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</row>
    <row r="484" ht="14.2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</row>
    <row r="485" ht="14.2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</row>
    <row r="486" ht="14.2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</row>
    <row r="487" ht="14.2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</row>
    <row r="488" ht="14.2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</row>
    <row r="489" ht="14.2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</row>
    <row r="490" ht="14.2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</row>
    <row r="491" ht="14.2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</row>
    <row r="492" ht="14.2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</row>
    <row r="493" ht="14.2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</row>
    <row r="494" ht="14.2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</row>
    <row r="495" ht="14.2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</row>
    <row r="496" ht="14.2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</row>
    <row r="497" ht="14.2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</row>
    <row r="498" ht="14.2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</row>
    <row r="499" ht="14.2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</row>
    <row r="500" ht="14.2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</row>
    <row r="501" ht="14.2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</row>
    <row r="502" ht="14.2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</row>
    <row r="503" ht="14.2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</row>
    <row r="504" ht="14.2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</row>
    <row r="505" ht="14.2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</row>
    <row r="506" ht="14.2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</row>
    <row r="507" ht="14.2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</row>
    <row r="508" ht="14.2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</row>
    <row r="509" ht="14.2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</row>
    <row r="510" ht="14.2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</row>
    <row r="511" ht="14.2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</row>
    <row r="512" ht="14.2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</row>
    <row r="513" ht="14.2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</row>
    <row r="514" ht="14.2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</row>
    <row r="515" ht="14.2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</row>
    <row r="516" ht="14.2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</row>
    <row r="517" ht="14.2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</row>
    <row r="518" ht="14.2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</row>
    <row r="519" ht="14.2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</row>
    <row r="520" ht="14.2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</row>
    <row r="521" ht="14.2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</row>
    <row r="522" ht="14.2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</row>
    <row r="523" ht="14.2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</row>
    <row r="524" ht="14.2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</row>
    <row r="525" ht="14.2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</row>
    <row r="526" ht="14.2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</row>
    <row r="527" ht="14.2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</row>
    <row r="528" ht="14.2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</row>
    <row r="529" ht="14.2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</row>
    <row r="530" ht="14.2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</row>
    <row r="531" ht="14.2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</row>
    <row r="532" ht="14.2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</row>
    <row r="533" ht="14.2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</row>
    <row r="534" ht="14.2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</row>
    <row r="535" ht="14.2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</row>
    <row r="536" ht="14.2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</row>
    <row r="537" ht="14.2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</row>
    <row r="538" ht="14.2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</row>
    <row r="539" ht="14.2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</row>
    <row r="540" ht="14.2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</row>
    <row r="541" ht="14.2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</row>
    <row r="542" ht="14.2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</row>
    <row r="543" ht="14.2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</row>
    <row r="544" ht="14.2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</row>
    <row r="545" ht="14.2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</row>
    <row r="546" ht="14.2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</row>
    <row r="547" ht="14.2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</row>
    <row r="548" ht="14.2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</row>
    <row r="549" ht="14.2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</row>
    <row r="550" ht="14.2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</row>
    <row r="551" ht="14.2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</row>
    <row r="552" ht="14.2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</row>
    <row r="553" ht="14.2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</row>
    <row r="554" ht="14.2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</row>
    <row r="555" ht="14.2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</row>
    <row r="556" ht="14.2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</row>
    <row r="557" ht="14.2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</row>
    <row r="558" ht="14.2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</row>
    <row r="559" ht="14.2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</row>
    <row r="560" ht="14.2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</row>
    <row r="561" ht="14.2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</row>
    <row r="562" ht="14.2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</row>
    <row r="563" ht="14.2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</row>
    <row r="564" ht="14.2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</row>
    <row r="565" ht="14.2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</row>
    <row r="566" ht="14.2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</row>
    <row r="567" ht="14.2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</row>
    <row r="568" ht="14.2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</row>
    <row r="569" ht="14.2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</row>
    <row r="570" ht="14.2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</row>
    <row r="571" ht="14.2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</row>
    <row r="572" ht="14.2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</row>
    <row r="573" ht="14.2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</row>
    <row r="574" ht="14.2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</row>
    <row r="575" ht="14.2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</row>
    <row r="576" ht="14.2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</row>
    <row r="577" ht="14.2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</row>
    <row r="578" ht="14.2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</row>
    <row r="579" ht="14.2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</row>
    <row r="580" ht="14.2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</row>
    <row r="581" ht="14.2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</row>
    <row r="582" ht="14.2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</row>
    <row r="583" ht="14.2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</row>
    <row r="584" ht="14.2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</row>
    <row r="585" ht="14.2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</row>
    <row r="586" ht="14.2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</row>
    <row r="587" ht="14.2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</row>
    <row r="588" ht="14.2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</row>
    <row r="589" ht="14.2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</row>
    <row r="590" ht="14.2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</row>
    <row r="591" ht="14.2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</row>
    <row r="592" ht="14.2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</row>
    <row r="593" ht="14.2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</row>
    <row r="594" ht="14.2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</row>
    <row r="595" ht="14.2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</row>
    <row r="596" ht="14.2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</row>
    <row r="597" ht="14.2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</row>
    <row r="598" ht="14.2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</row>
    <row r="599" ht="14.2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</row>
    <row r="600" ht="14.2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</row>
    <row r="601" ht="14.2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</row>
    <row r="602" ht="14.2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</row>
    <row r="603" ht="14.2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</row>
    <row r="604" ht="14.2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</row>
    <row r="605" ht="14.2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</row>
    <row r="606" ht="14.2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</row>
    <row r="607" ht="14.2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</row>
    <row r="608" ht="14.2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</row>
    <row r="609" ht="14.2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</row>
    <row r="610" ht="14.2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</row>
    <row r="611" ht="14.2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</row>
    <row r="612" ht="14.2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</row>
    <row r="613" ht="14.2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</row>
    <row r="614" ht="14.2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</row>
    <row r="615" ht="14.2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</row>
    <row r="616" ht="14.2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</row>
    <row r="617" ht="14.2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</row>
    <row r="618" ht="14.2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</row>
    <row r="619" ht="14.2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</row>
    <row r="620" ht="14.2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</row>
    <row r="621" ht="14.2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</row>
    <row r="622" ht="14.2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</row>
    <row r="623" ht="14.2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</row>
    <row r="624" ht="14.2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</row>
    <row r="625" ht="14.2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</row>
    <row r="626" ht="14.2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</row>
    <row r="627" ht="14.2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</row>
    <row r="628" ht="14.2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</row>
    <row r="629" ht="14.2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</row>
    <row r="630" ht="14.2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</row>
    <row r="631" ht="14.2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</row>
    <row r="632" ht="14.2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</row>
    <row r="633" ht="14.2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</row>
    <row r="634" ht="14.2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</row>
    <row r="635" ht="14.2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</row>
    <row r="636" ht="14.2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</row>
    <row r="637" ht="14.2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</row>
    <row r="638" ht="14.2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</row>
    <row r="639" ht="14.2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</row>
    <row r="640" ht="14.2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</row>
    <row r="641" ht="14.2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</row>
    <row r="642" ht="14.2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</row>
    <row r="643" ht="14.2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</row>
    <row r="644" ht="14.2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</row>
    <row r="645" ht="14.2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</row>
    <row r="646" ht="14.2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</row>
    <row r="647" ht="14.2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</row>
    <row r="648" ht="14.2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</row>
    <row r="649" ht="14.2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</row>
    <row r="650" ht="14.2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</row>
    <row r="651" ht="14.2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</row>
    <row r="652" ht="14.2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</row>
    <row r="653" ht="14.2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</row>
    <row r="654" ht="14.2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</row>
    <row r="655" ht="14.2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</row>
    <row r="656" ht="14.2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</row>
    <row r="657" ht="14.2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</row>
    <row r="658" ht="14.2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</row>
    <row r="659" ht="14.2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</row>
    <row r="660" ht="14.2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</row>
    <row r="661" ht="14.2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</row>
    <row r="662" ht="14.2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</row>
    <row r="663" ht="14.2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</row>
    <row r="664" ht="14.2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</row>
    <row r="665" ht="14.2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</row>
    <row r="666" ht="14.2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</row>
    <row r="667" ht="14.2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</row>
    <row r="668" ht="14.2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</row>
    <row r="669" ht="14.2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</row>
    <row r="670" ht="14.2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</row>
    <row r="671" ht="14.2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</row>
    <row r="672" ht="14.2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</row>
    <row r="673" ht="14.2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</row>
    <row r="674" ht="14.2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</row>
    <row r="675" ht="14.2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</row>
    <row r="676" ht="14.2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</row>
    <row r="677" ht="14.2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</row>
    <row r="678" ht="14.2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</row>
    <row r="679" ht="14.2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</row>
    <row r="680" ht="14.2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</row>
    <row r="681" ht="14.2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</row>
    <row r="682" ht="14.2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</row>
    <row r="683" ht="14.2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</row>
    <row r="684" ht="14.2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</row>
    <row r="685" ht="14.2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</row>
    <row r="686" ht="14.2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</row>
    <row r="687" ht="14.2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</row>
    <row r="688" ht="14.2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</row>
    <row r="689" ht="14.2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</row>
    <row r="690" ht="14.2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</row>
    <row r="691" ht="14.2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</row>
    <row r="692" ht="14.2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</row>
    <row r="693" ht="14.2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</row>
    <row r="694" ht="14.2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</row>
    <row r="695" ht="14.2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</row>
    <row r="696" ht="14.2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</row>
    <row r="697" ht="14.2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</row>
    <row r="698" ht="14.2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</row>
    <row r="699" ht="14.2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</row>
    <row r="700" ht="14.2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</row>
    <row r="701" ht="14.2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</row>
    <row r="702" ht="14.2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</row>
    <row r="703" ht="14.2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</row>
    <row r="704" ht="14.2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</row>
    <row r="705" ht="14.2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</row>
    <row r="706" ht="14.2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</row>
    <row r="707" ht="14.2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</row>
    <row r="708" ht="14.2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</row>
    <row r="709" ht="14.2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</row>
    <row r="710" ht="14.2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</row>
    <row r="711" ht="14.2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</row>
    <row r="712" ht="14.2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</row>
    <row r="713" ht="14.2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</row>
    <row r="714" ht="14.2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</row>
    <row r="715" ht="14.2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</row>
    <row r="716" ht="14.2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</row>
    <row r="717" ht="14.2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</row>
    <row r="718" ht="14.2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</row>
    <row r="719" ht="14.2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</row>
    <row r="720" ht="14.2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</row>
    <row r="721" ht="14.2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</row>
    <row r="722" ht="14.2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</row>
    <row r="723" ht="14.2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</row>
    <row r="724" ht="14.2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</row>
    <row r="725" ht="14.2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</row>
    <row r="726" ht="14.2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</row>
    <row r="727" ht="14.2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</row>
    <row r="728" ht="14.2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</row>
    <row r="729" ht="14.2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</row>
    <row r="730" ht="14.2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</row>
    <row r="731" ht="14.2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</row>
    <row r="732" ht="14.2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</row>
    <row r="733" ht="14.2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</row>
    <row r="734" ht="14.2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</row>
    <row r="735" ht="14.2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</row>
    <row r="736" ht="14.2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</row>
    <row r="737" ht="14.2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</row>
    <row r="738" ht="14.2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</row>
    <row r="739" ht="14.2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</row>
    <row r="740" ht="14.2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</row>
    <row r="741" ht="14.2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</row>
    <row r="742" ht="14.2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</row>
    <row r="743" ht="14.2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</row>
    <row r="744" ht="14.2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</row>
    <row r="745" ht="14.2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</row>
    <row r="746" ht="14.2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</row>
    <row r="747" ht="14.2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</row>
    <row r="748" ht="14.2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</row>
    <row r="749" ht="14.2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</row>
    <row r="750" ht="14.2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</row>
    <row r="751" ht="14.2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</row>
    <row r="752" ht="14.2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</row>
    <row r="753" ht="14.2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</row>
    <row r="754" ht="14.2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</row>
    <row r="755" ht="14.2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</row>
    <row r="756" ht="14.2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</row>
    <row r="757" ht="14.2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</row>
    <row r="758" ht="14.2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</row>
    <row r="759" ht="14.2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</row>
    <row r="760" ht="14.2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</row>
    <row r="761" ht="14.2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</row>
    <row r="762" ht="14.2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</row>
    <row r="763" ht="14.2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</row>
    <row r="764" ht="14.2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</row>
    <row r="765" ht="14.2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</row>
    <row r="766" ht="14.2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</row>
    <row r="767" ht="14.2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</row>
    <row r="768" ht="14.2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</row>
    <row r="769" ht="14.2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</row>
    <row r="770" ht="14.2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</row>
    <row r="771" ht="14.2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</row>
    <row r="772" ht="14.2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</row>
    <row r="773" ht="14.2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</row>
    <row r="774" ht="14.2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</row>
    <row r="775" ht="14.2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</row>
    <row r="776" ht="14.2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</row>
    <row r="777" ht="14.2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</row>
    <row r="778" ht="14.2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</row>
    <row r="779" ht="14.2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</row>
    <row r="780" ht="14.2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</row>
    <row r="781" ht="14.2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</row>
    <row r="782" ht="14.2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</row>
    <row r="783" ht="14.2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</row>
    <row r="784" ht="14.2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</row>
    <row r="785" ht="14.2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</row>
    <row r="786" ht="14.2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</row>
    <row r="787" ht="14.2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</row>
    <row r="788" ht="14.2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</row>
    <row r="789" ht="14.2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</row>
    <row r="790" ht="14.2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</row>
    <row r="791" ht="14.2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</row>
    <row r="792" ht="14.2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</row>
    <row r="793" ht="14.2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</row>
    <row r="794" ht="14.2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</row>
    <row r="795" ht="14.2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</row>
    <row r="796" ht="14.2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</row>
    <row r="797" ht="14.2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</row>
    <row r="798" ht="14.2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</row>
    <row r="799" ht="14.2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</row>
    <row r="800" ht="14.2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</row>
    <row r="801" ht="14.2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</row>
    <row r="802" ht="14.2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</row>
    <row r="803" ht="14.2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</row>
    <row r="804" ht="14.2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</row>
    <row r="805" ht="14.2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</row>
    <row r="806" ht="14.2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</row>
    <row r="807" ht="14.2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</row>
    <row r="808" ht="14.2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</row>
    <row r="809" ht="14.2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</row>
    <row r="810" ht="14.2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</row>
    <row r="811" ht="14.2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</row>
    <row r="812" ht="14.2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</row>
    <row r="813" ht="14.2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</row>
    <row r="814" ht="14.2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</row>
    <row r="815" ht="14.2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</row>
    <row r="816" ht="14.2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</row>
    <row r="817" ht="14.2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</row>
    <row r="818" ht="14.2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</row>
    <row r="819" ht="14.2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</row>
    <row r="820" ht="14.2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</row>
    <row r="821" ht="14.2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</row>
    <row r="822" ht="14.2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</row>
    <row r="823" ht="14.2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</row>
    <row r="824" ht="14.2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</row>
    <row r="825" ht="14.2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</row>
    <row r="826" ht="14.2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</row>
    <row r="827" ht="14.2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</row>
    <row r="828" ht="14.2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</row>
    <row r="829" ht="14.2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</row>
    <row r="830" ht="14.2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</row>
    <row r="831" ht="14.2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</row>
    <row r="832" ht="14.2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</row>
    <row r="833" ht="14.2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</row>
    <row r="834" ht="14.2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</row>
    <row r="835" ht="14.2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</row>
    <row r="836" ht="14.2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</row>
    <row r="837" ht="14.2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</row>
    <row r="838" ht="14.2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</row>
    <row r="839" ht="14.2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</row>
    <row r="840" ht="14.2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</row>
    <row r="841" ht="14.2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</row>
    <row r="842" ht="14.2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</row>
    <row r="843" ht="14.2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</row>
    <row r="844" ht="14.2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</row>
    <row r="845" ht="14.2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</row>
    <row r="846" ht="14.2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</row>
    <row r="847" ht="14.2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</row>
    <row r="848" ht="14.2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</row>
    <row r="849" ht="14.2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</row>
    <row r="850" ht="14.2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</row>
    <row r="851" ht="14.2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</row>
    <row r="852" ht="14.2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</row>
    <row r="853" ht="14.2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</row>
    <row r="854" ht="14.2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</row>
    <row r="855" ht="14.2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</row>
    <row r="856" ht="14.2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</row>
    <row r="857" ht="14.2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</row>
    <row r="858" ht="14.2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</row>
    <row r="859" ht="14.2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</row>
    <row r="860" ht="14.2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</row>
    <row r="861" ht="14.2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</row>
    <row r="862" ht="14.2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</row>
    <row r="863" ht="14.2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</row>
    <row r="864" ht="14.2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</row>
    <row r="865" ht="14.2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</row>
    <row r="866" ht="14.2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</row>
    <row r="867" ht="14.2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</row>
    <row r="868" ht="14.2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</row>
    <row r="869" ht="14.2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</row>
    <row r="870" ht="14.2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</row>
    <row r="871" ht="14.2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</row>
    <row r="872" ht="14.2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</row>
    <row r="873" ht="14.2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</row>
    <row r="874" ht="14.2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</row>
    <row r="875" ht="14.2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</row>
    <row r="876" ht="14.2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</row>
    <row r="877" ht="14.2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</row>
    <row r="878" ht="14.2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</row>
    <row r="879" ht="14.2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</row>
    <row r="880" ht="14.2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</row>
    <row r="881" ht="14.2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</row>
    <row r="882" ht="14.2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</row>
    <row r="883" ht="14.2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</row>
    <row r="884" ht="14.2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</row>
    <row r="885" ht="14.2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</row>
    <row r="886" ht="14.2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</row>
    <row r="887" ht="14.2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</row>
    <row r="888" ht="14.2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</row>
    <row r="889" ht="14.2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</row>
    <row r="890" ht="14.2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</row>
    <row r="891" ht="14.2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</row>
    <row r="892" ht="14.2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</row>
    <row r="893" ht="14.2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</row>
    <row r="894" ht="14.2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</row>
    <row r="895" ht="14.2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</row>
    <row r="896" ht="14.2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</row>
    <row r="897" ht="14.2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</row>
    <row r="898" ht="14.2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</row>
    <row r="899" ht="14.2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</row>
    <row r="900" ht="14.2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</row>
    <row r="901" ht="14.2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</row>
    <row r="902" ht="14.2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</row>
    <row r="903" ht="14.2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</row>
    <row r="904" ht="14.2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</row>
    <row r="905" ht="14.2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</row>
    <row r="906" ht="14.2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</row>
    <row r="907" ht="14.2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</row>
    <row r="908" ht="14.2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</row>
    <row r="909" ht="14.2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</row>
    <row r="910" ht="14.2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</row>
    <row r="911" ht="14.2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</row>
    <row r="912" ht="14.2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</row>
    <row r="913" ht="14.2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</row>
    <row r="914" ht="14.2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</row>
    <row r="915" ht="14.2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</row>
    <row r="916" ht="14.2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</row>
    <row r="917" ht="14.2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</row>
    <row r="918" ht="14.2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</row>
    <row r="919" ht="14.2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</row>
    <row r="920" ht="14.2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</row>
    <row r="921" ht="14.2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</row>
    <row r="922" ht="14.2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</row>
    <row r="923" ht="14.2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</row>
    <row r="924" ht="14.2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</row>
    <row r="925" ht="14.2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</row>
    <row r="926" ht="14.2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</row>
    <row r="927" ht="14.2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</row>
    <row r="928" ht="14.2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</row>
    <row r="929" ht="14.2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</row>
    <row r="930" ht="14.2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</row>
    <row r="931" ht="14.2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</row>
    <row r="932" ht="14.2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</row>
    <row r="933" ht="14.2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</row>
    <row r="934" ht="14.2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</row>
    <row r="935" ht="14.2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</row>
    <row r="936" ht="14.2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</row>
    <row r="937" ht="14.2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</row>
    <row r="938" ht="14.2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</row>
    <row r="939" ht="14.2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</row>
    <row r="940" ht="14.2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</row>
    <row r="941" ht="14.2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</row>
    <row r="942" ht="14.2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</row>
    <row r="943" ht="14.2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</row>
    <row r="944" ht="14.2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</row>
    <row r="945" ht="14.2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</row>
    <row r="946" ht="14.2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</row>
    <row r="947" ht="14.2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</row>
    <row r="948" ht="14.2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</row>
    <row r="949" ht="14.2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</row>
    <row r="950" ht="14.2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</row>
    <row r="951" ht="14.2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</row>
    <row r="952" ht="14.2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</row>
    <row r="953" ht="14.2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</row>
    <row r="954" ht="14.2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</row>
    <row r="955" ht="14.2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</row>
    <row r="956" ht="14.2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</row>
    <row r="957" ht="14.2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</row>
    <row r="958" ht="14.2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</row>
    <row r="959" ht="14.2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</row>
    <row r="960" ht="14.2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</row>
    <row r="961" ht="14.2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</row>
    <row r="962" ht="14.2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</row>
    <row r="963" ht="14.2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</row>
    <row r="964" ht="14.2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</row>
    <row r="965" ht="14.2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</row>
    <row r="966" ht="14.2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</row>
    <row r="967" ht="14.2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</row>
    <row r="968" ht="14.2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</row>
    <row r="969" ht="14.2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</row>
    <row r="970" ht="14.2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</row>
    <row r="971" ht="14.2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</row>
    <row r="972" ht="14.2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</row>
    <row r="973" ht="14.2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</row>
    <row r="974" ht="14.2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</row>
    <row r="975" ht="14.2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</row>
    <row r="976" ht="14.2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</row>
    <row r="977" ht="14.2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</row>
    <row r="978" ht="14.2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</row>
    <row r="979" ht="14.2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</row>
    <row r="980" ht="14.2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</row>
    <row r="981" ht="14.2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</row>
    <row r="982" ht="14.2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</row>
    <row r="983" ht="14.2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</row>
    <row r="984" ht="14.2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</row>
    <row r="985" ht="14.2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</row>
    <row r="986" ht="14.2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</row>
    <row r="987" ht="14.2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</row>
    <row r="988" ht="14.2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</row>
    <row r="989" ht="14.2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</row>
    <row r="990" ht="14.2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</row>
    <row r="991" ht="14.2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</row>
    <row r="992" ht="14.2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</row>
    <row r="993" ht="14.2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</row>
    <row r="994" ht="14.2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</row>
    <row r="995" ht="14.2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</row>
    <row r="996" ht="14.2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</row>
    <row r="997" ht="14.2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</row>
    <row r="998" ht="14.2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</row>
    <row r="999" ht="14.2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</row>
  </sheetData>
  <autoFilter ref="$A$1:$F$168"/>
  <mergeCells count="1">
    <mergeCell ref="A170:E170"/>
  </mergeCells>
  <conditionalFormatting sqref="H2:H168">
    <cfRule type="expression" dxfId="0" priority="1">
      <formula>F2&lt;H2</formula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2025-03-10T16:33:18Z</dcterms:created>
  <dc:creator>cristobal ignacio loyola uribe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0x010100E70D667273A11C438A2C64F1FDFB19C4</vt:lpwstr>
  </property>
</Properties>
</file>